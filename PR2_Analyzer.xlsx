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harm\Downloads\"/>
    </mc:Choice>
  </mc:AlternateContent>
  <xr:revisionPtr revIDLastSave="0" documentId="13_ncr:1_{AAF383F8-46F2-4BA4-8A15-CE70DE6A790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w_Data" sheetId="1" r:id="rId1"/>
    <sheet name="Conditional_Formatting" sheetId="2" r:id="rId2"/>
    <sheet name="What_If_Analysis" sheetId="3" r:id="rId3"/>
    <sheet name="Linear_Regression" sheetId="4" r:id="rId4"/>
    <sheet name="Descriptive_Statistics" sheetId="5" r:id="rId5"/>
    <sheet name="Monthly_Growth" sheetId="6" r:id="rId6"/>
    <sheet name="Timestamp" sheetId="7" r:id="rId7"/>
    <sheet name="High_Value_Customers" sheetId="8" r:id="rId8"/>
    <sheet name="Pivot_Table" sheetId="9" r:id="rId9"/>
    <sheet name="Charts" sheetId="10" r:id="rId10"/>
    <sheet name="Dashboar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6" i="11" l="1"/>
  <c r="Q6" i="11"/>
  <c r="L6" i="11"/>
  <c r="G6" i="11"/>
  <c r="B6" i="11"/>
  <c r="B29" i="8"/>
  <c r="B28" i="8"/>
  <c r="B27" i="8"/>
  <c r="B5" i="7"/>
  <c r="B4" i="7"/>
  <c r="B3" i="7"/>
  <c r="D15" i="6"/>
  <c r="C15" i="6"/>
  <c r="B15" i="6"/>
  <c r="F14" i="6"/>
  <c r="E14" i="6"/>
  <c r="E15" i="6" s="1"/>
  <c r="F13" i="6"/>
  <c r="G13" i="6" s="1"/>
  <c r="E13" i="6"/>
  <c r="F12" i="6"/>
  <c r="G12" i="6" s="1"/>
  <c r="E12" i="6"/>
  <c r="F11" i="6"/>
  <c r="G11" i="6" s="1"/>
  <c r="E11" i="6"/>
  <c r="F10" i="6"/>
  <c r="G10" i="6" s="1"/>
  <c r="E10" i="6"/>
  <c r="F9" i="6"/>
  <c r="G9" i="6" s="1"/>
  <c r="E9" i="6"/>
  <c r="F8" i="6"/>
  <c r="G8" i="6" s="1"/>
  <c r="E8" i="6"/>
  <c r="F7" i="6"/>
  <c r="G7" i="6" s="1"/>
  <c r="E7" i="6"/>
  <c r="F6" i="6"/>
  <c r="G6" i="6" s="1"/>
  <c r="E6" i="6"/>
  <c r="F5" i="6"/>
  <c r="G5" i="6" s="1"/>
  <c r="E5" i="6"/>
  <c r="F4" i="6"/>
  <c r="G4" i="6" s="1"/>
  <c r="E4" i="6"/>
  <c r="F3" i="6"/>
  <c r="G3" i="6" s="1"/>
  <c r="E3" i="6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H8" i="5" s="1"/>
  <c r="H9" i="5"/>
  <c r="E9" i="5"/>
  <c r="D9" i="5"/>
  <c r="C9" i="5"/>
  <c r="B9" i="5"/>
  <c r="H7" i="5" s="1"/>
  <c r="E8" i="5"/>
  <c r="D8" i="5"/>
  <c r="C8" i="5"/>
  <c r="B8" i="5"/>
  <c r="E7" i="5"/>
  <c r="D7" i="5"/>
  <c r="C7" i="5"/>
  <c r="B7" i="5"/>
  <c r="E6" i="5"/>
  <c r="D6" i="5"/>
  <c r="C6" i="5"/>
  <c r="B6" i="5"/>
  <c r="H6" i="5" s="1"/>
  <c r="E5" i="5"/>
  <c r="D5" i="5"/>
  <c r="C5" i="5"/>
  <c r="B5" i="5"/>
  <c r="H5" i="5" s="1"/>
  <c r="H4" i="5"/>
  <c r="E4" i="5"/>
  <c r="D4" i="5"/>
  <c r="C4" i="5"/>
  <c r="B4" i="5"/>
  <c r="E3" i="5"/>
  <c r="D3" i="5"/>
  <c r="C3" i="5"/>
  <c r="B3" i="5"/>
  <c r="B14" i="3"/>
  <c r="C14" i="3" s="1"/>
  <c r="B13" i="3"/>
  <c r="C13" i="3" s="1"/>
  <c r="B12" i="3"/>
  <c r="C12" i="3" s="1"/>
  <c r="B11" i="3"/>
  <c r="C11" i="3" s="1"/>
  <c r="B10" i="3"/>
  <c r="C10" i="3" s="1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F15" i="6" l="1"/>
  <c r="G14" i="6"/>
  <c r="D14" i="3"/>
  <c r="G14" i="3" s="1"/>
  <c r="E14" i="3"/>
  <c r="F14" i="3"/>
  <c r="D13" i="3"/>
  <c r="G13" i="3" s="1"/>
  <c r="E13" i="3"/>
  <c r="F13" i="3"/>
  <c r="D12" i="3"/>
  <c r="G12" i="3" s="1"/>
  <c r="E12" i="3"/>
  <c r="F12" i="3"/>
  <c r="D11" i="3"/>
  <c r="G11" i="3" s="1"/>
  <c r="E11" i="3"/>
  <c r="F11" i="3"/>
  <c r="D10" i="3"/>
  <c r="G10" i="3" s="1"/>
  <c r="E10" i="3"/>
  <c r="F10" i="3"/>
</calcChain>
</file>

<file path=xl/sharedStrings.xml><?xml version="1.0" encoding="utf-8"?>
<sst xmlns="http://schemas.openxmlformats.org/spreadsheetml/2006/main" count="2875" uniqueCount="741">
  <si>
    <t>PR 2 ANALYZER — Raw Sales Data (500 Rows)</t>
  </si>
  <si>
    <t>Order ID</t>
  </si>
  <si>
    <t>Customer Name</t>
  </si>
  <si>
    <t>Region</t>
  </si>
  <si>
    <t>Product</t>
  </si>
  <si>
    <t>Category</t>
  </si>
  <si>
    <t>Sales</t>
  </si>
  <si>
    <t>Profit</t>
  </si>
  <si>
    <t>Discount</t>
  </si>
  <si>
    <t>Quantity</t>
  </si>
  <si>
    <t>Order Date</t>
  </si>
  <si>
    <t>Month</t>
  </si>
  <si>
    <t>Year</t>
  </si>
  <si>
    <t>ORD-1001</t>
  </si>
  <si>
    <t>Grace Taylor</t>
  </si>
  <si>
    <t>North</t>
  </si>
  <si>
    <t>Speaker</t>
  </si>
  <si>
    <t>Audio</t>
  </si>
  <si>
    <t>ORD-1002</t>
  </si>
  <si>
    <t>David Smith</t>
  </si>
  <si>
    <t>West</t>
  </si>
  <si>
    <t>Keyboard</t>
  </si>
  <si>
    <t>Accessories</t>
  </si>
  <si>
    <t>ORD-1003</t>
  </si>
  <si>
    <t>Rachel Davis</t>
  </si>
  <si>
    <t>Central</t>
  </si>
  <si>
    <t>Printer</t>
  </si>
  <si>
    <t>Office</t>
  </si>
  <si>
    <t>ORD-1004</t>
  </si>
  <si>
    <t>Iris Davis</t>
  </si>
  <si>
    <t>Tablet</t>
  </si>
  <si>
    <t>Electronics</t>
  </si>
  <si>
    <t>ORD-1005</t>
  </si>
  <si>
    <t>Bob Smith</t>
  </si>
  <si>
    <t>Router</t>
  </si>
  <si>
    <t>Networking</t>
  </si>
  <si>
    <t>ORD-1006</t>
  </si>
  <si>
    <t>Henry White</t>
  </si>
  <si>
    <t>Webcam</t>
  </si>
  <si>
    <t>ORD-1007</t>
  </si>
  <si>
    <t>Sam Miller</t>
  </si>
  <si>
    <t>East</t>
  </si>
  <si>
    <t>Mouse</t>
  </si>
  <si>
    <t>ORD-1008</t>
  </si>
  <si>
    <t>Rachel Brown</t>
  </si>
  <si>
    <t>ORD-1009</t>
  </si>
  <si>
    <t>Sam Jackson</t>
  </si>
  <si>
    <t>South</t>
  </si>
  <si>
    <t>Laptop</t>
  </si>
  <si>
    <t>ORD-1010</t>
  </si>
  <si>
    <t>Rachel Miller</t>
  </si>
  <si>
    <t>ORD-1011</t>
  </si>
  <si>
    <t>Iris Williams</t>
  </si>
  <si>
    <t>Monitor</t>
  </si>
  <si>
    <t>ORD-1012</t>
  </si>
  <si>
    <t>ORD-1013</t>
  </si>
  <si>
    <t>Mia Brown</t>
  </si>
  <si>
    <t>Headphones</t>
  </si>
  <si>
    <t>ORD-1014</t>
  </si>
  <si>
    <t>ORD-1015</t>
  </si>
  <si>
    <t>ORD-1016</t>
  </si>
  <si>
    <t>Rachel Jackson</t>
  </si>
  <si>
    <t>ORD-1017</t>
  </si>
  <si>
    <t>David Williams</t>
  </si>
  <si>
    <t>ORD-1018</t>
  </si>
  <si>
    <t>ORD-1019</t>
  </si>
  <si>
    <t>ORD-1020</t>
  </si>
  <si>
    <t>ORD-1021</t>
  </si>
  <si>
    <t>ORD-1022</t>
  </si>
  <si>
    <t>Carol Davis</t>
  </si>
  <si>
    <t>ORD-1023</t>
  </si>
  <si>
    <t>Quinn Wilson</t>
  </si>
  <si>
    <t>ORD-1024</t>
  </si>
  <si>
    <t>ORD-1025</t>
  </si>
  <si>
    <t>Henry Johnson</t>
  </si>
  <si>
    <t>ORD-1026</t>
  </si>
  <si>
    <t>ORD-1027</t>
  </si>
  <si>
    <t>Mia Wilson</t>
  </si>
  <si>
    <t>ORD-1028</t>
  </si>
  <si>
    <t>ORD-1029</t>
  </si>
  <si>
    <t>Leo Davis</t>
  </si>
  <si>
    <t>ORD-1030</t>
  </si>
  <si>
    <t>ORD-1031</t>
  </si>
  <si>
    <t>Tina Wilson</t>
  </si>
  <si>
    <t>ORD-1032</t>
  </si>
  <si>
    <t>Mia Williams</t>
  </si>
  <si>
    <t>ORD-1033</t>
  </si>
  <si>
    <t>ORD-1034</t>
  </si>
  <si>
    <t>ORD-1035</t>
  </si>
  <si>
    <t>Grace Wilson</t>
  </si>
  <si>
    <t>ORD-1036</t>
  </si>
  <si>
    <t>Bob White</t>
  </si>
  <si>
    <t>ORD-1037</t>
  </si>
  <si>
    <t>ORD-1038</t>
  </si>
  <si>
    <t>Frank White</t>
  </si>
  <si>
    <t>ORD-1039</t>
  </si>
  <si>
    <t>Karen Thomas</t>
  </si>
  <si>
    <t>ORD-1040</t>
  </si>
  <si>
    <t>Leo Anderson</t>
  </si>
  <si>
    <t>ORD-1041</t>
  </si>
  <si>
    <t>ORD-1042</t>
  </si>
  <si>
    <t>Mia White</t>
  </si>
  <si>
    <t>ORD-1043</t>
  </si>
  <si>
    <t>Iris Jones</t>
  </si>
  <si>
    <t>ORD-1044</t>
  </si>
  <si>
    <t>ORD-1045</t>
  </si>
  <si>
    <t>ORD-1046</t>
  </si>
  <si>
    <t>ORD-1047</t>
  </si>
  <si>
    <t>ORD-1048</t>
  </si>
  <si>
    <t>ORD-1049</t>
  </si>
  <si>
    <t>Tina Anderson</t>
  </si>
  <si>
    <t>ORD-1050</t>
  </si>
  <si>
    <t>Mia Thomas</t>
  </si>
  <si>
    <t>ORD-1051</t>
  </si>
  <si>
    <t>Carol Johnson</t>
  </si>
  <si>
    <t>ORD-1052</t>
  </si>
  <si>
    <t>ORD-1053</t>
  </si>
  <si>
    <t>David Thomas</t>
  </si>
  <si>
    <t>ORD-1054</t>
  </si>
  <si>
    <t>ORD-1055</t>
  </si>
  <si>
    <t>Alice Garcia</t>
  </si>
  <si>
    <t>ORD-1056</t>
  </si>
  <si>
    <t>ORD-1057</t>
  </si>
  <si>
    <t>Carol Miller</t>
  </si>
  <si>
    <t>ORD-1058</t>
  </si>
  <si>
    <t>Grace Harris</t>
  </si>
  <si>
    <t>ORD-1059</t>
  </si>
  <si>
    <t>Sam Thomas</t>
  </si>
  <si>
    <t>ORD-1060</t>
  </si>
  <si>
    <t>David Jones</t>
  </si>
  <si>
    <t>ORD-1061</t>
  </si>
  <si>
    <t>Sam Wilson</t>
  </si>
  <si>
    <t>ORD-1062</t>
  </si>
  <si>
    <t>ORD-1063</t>
  </si>
  <si>
    <t>ORD-1064</t>
  </si>
  <si>
    <t>ORD-1065</t>
  </si>
  <si>
    <t>ORD-1066</t>
  </si>
  <si>
    <t>ORD-1067</t>
  </si>
  <si>
    <t>Emma Davis</t>
  </si>
  <si>
    <t>ORD-1068</t>
  </si>
  <si>
    <t>ORD-1069</t>
  </si>
  <si>
    <t>Emma Wilson</t>
  </si>
  <si>
    <t>ORD-1070</t>
  </si>
  <si>
    <t>ORD-1071</t>
  </si>
  <si>
    <t>ORD-1072</t>
  </si>
  <si>
    <t>Frank Jackson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</si>
  <si>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</si>
  <si>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</si>
  <si>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</si>
  <si>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</si>
  <si>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</si>
  <si>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</si>
  <si>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</si>
  <si>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</si>
  <si>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</si>
  <si>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</si>
  <si>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</si>
  <si>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</si>
  <si>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</si>
  <si>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</si>
  <si>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Rachel Moore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</si>
  <si>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</si>
  <si>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</si>
  <si>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</si>
  <si>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</si>
  <si>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</si>
  <si>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</si>
  <si>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</si>
  <si>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</si>
  <si>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</si>
  <si>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</si>
  <si>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</si>
  <si>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</si>
  <si>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</si>
  <si>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Henry Jones</t>
  </si>
  <si>
    <t>ORD-1100</t>
  </si>
  <si>
    <t>ORD-1101</t>
  </si>
  <si>
    <t>Tina White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</si>
  <si>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</si>
  <si>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</si>
  <si>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</si>
  <si>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</si>
  <si>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</si>
  <si>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</si>
  <si>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</si>
  <si>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</si>
  <si>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</si>
  <si>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</si>
  <si>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</si>
  <si>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</si>
  <si>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</si>
  <si>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</si>
  <si>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</si>
  <si>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</si>
  <si>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</si>
  <si>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</si>
  <si>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</si>
  <si>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</si>
  <si>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</si>
  <si>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</si>
  <si>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</si>
  <si>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</si>
  <si>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Karen Johnson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</si>
  <si>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</si>
  <si>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</si>
  <si>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</si>
  <si>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</si>
  <si>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</si>
  <si>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</si>
  <si>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</si>
  <si>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</si>
  <si>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</si>
  <si>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</si>
  <si>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</si>
  <si>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</si>
  <si>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</si>
  <si>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Leo Garcia</t>
  </si>
  <si>
    <t>ORD-1139</t>
  </si>
  <si>
    <t>Noah Taylor</t>
  </si>
  <si>
    <t>ORD-1140</t>
  </si>
  <si>
    <t>ORD-1141</t>
  </si>
  <si>
    <t>ORD-1142</t>
  </si>
  <si>
    <t>Henry Smith</t>
  </si>
  <si>
    <t>ORD-1143</t>
  </si>
  <si>
    <t>ORD-1144</t>
  </si>
  <si>
    <t>ORD-1145</t>
  </si>
  <si>
    <t>ORD-1146</t>
  </si>
  <si>
    <t>Rachel Wilson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</si>
  <si>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</si>
  <si>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</si>
  <si>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</si>
  <si>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</si>
  <si>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</si>
  <si>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</si>
  <si>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</si>
  <si>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</si>
  <si>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</si>
  <si>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</si>
  <si>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</si>
  <si>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</si>
  <si>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</si>
  <si>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</si>
  <si>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</si>
  <si>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Carol Garcia</t>
  </si>
  <si>
    <t>ORD-1162</t>
  </si>
  <si>
    <t>ORD-1163</t>
  </si>
  <si>
    <t>ORD-1164</t>
  </si>
  <si>
    <t>ORD-1165</t>
  </si>
  <si>
    <t>Tina Williams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</si>
  <si>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</si>
  <si>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</si>
  <si>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</si>
  <si>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</si>
  <si>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</si>
  <si>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</si>
  <si>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</si>
  <si>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</si>
  <si>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</si>
  <si>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</si>
  <si>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</si>
  <si>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</si>
  <si>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</si>
  <si>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</si>
  <si>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</si>
  <si>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</si>
  <si>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Henry Moore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</si>
  <si>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</si>
  <si>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</si>
  <si>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</si>
  <si>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</si>
  <si>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</si>
  <si>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</si>
  <si>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</si>
  <si>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</si>
  <si>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</si>
  <si>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</si>
  <si>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</si>
  <si>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</si>
  <si>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</si>
  <si>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</si>
  <si>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</si>
  <si>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</si>
  <si>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</si>
  <si>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</si>
  <si>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</si>
  <si>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</si>
  <si>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</si>
  <si>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</si>
  <si>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</si>
  <si>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</si>
  <si>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</si>
  <si>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</si>
  <si>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</si>
  <si>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</si>
  <si>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</si>
  <si>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</si>
  <si>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</si>
  <si>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</si>
  <si>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Emma Harris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</si>
  <si>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</si>
  <si>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</si>
  <si>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</si>
  <si>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</si>
  <si>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</si>
  <si>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</si>
  <si>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</si>
  <si>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</si>
  <si>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</si>
  <si>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</si>
  <si>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Iris White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</si>
  <si>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</si>
  <si>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</si>
  <si>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</si>
  <si>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</si>
  <si>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</si>
  <si>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</si>
  <si>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</si>
  <si>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</si>
  <si>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</si>
  <si>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</si>
  <si>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</si>
  <si>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</si>
  <si>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</si>
  <si>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</si>
  <si>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</si>
  <si>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</si>
  <si>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</si>
  <si>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</si>
  <si>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</si>
  <si>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</si>
  <si>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</si>
  <si>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</si>
  <si>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</si>
  <si>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</si>
  <si>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</si>
  <si>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</si>
  <si>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</si>
  <si>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</si>
  <si>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</si>
  <si>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</si>
  <si>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</si>
  <si>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</si>
  <si>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</si>
  <si>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</si>
  <si>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</si>
  <si>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</si>
  <si>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</si>
  <si>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</si>
  <si>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</si>
  <si>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</si>
  <si>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</si>
  <si>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</si>
  <si>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</si>
  <si>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</si>
  <si>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</si>
  <si>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</si>
  <si>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</si>
  <si>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</si>
  <si>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</si>
  <si>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</si>
  <si>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</si>
  <si>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</si>
  <si>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</si>
  <si>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</si>
  <si>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</si>
  <si>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</si>
  <si>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</si>
  <si>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</si>
  <si>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</si>
  <si>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</si>
  <si>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</si>
  <si>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</si>
  <si>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</si>
  <si>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</si>
  <si>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</si>
  <si>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</si>
  <si>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</si>
  <si>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</si>
  <si>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</si>
  <si>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</si>
  <si>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</si>
  <si>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</si>
  <si>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</si>
  <si>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</si>
  <si>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</si>
  <si>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</si>
  <si>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</si>
  <si>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</si>
  <si>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</si>
  <si>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</si>
  <si>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</si>
  <si>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</si>
  <si>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</si>
  <si>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</si>
  <si>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</si>
  <si>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</si>
  <si>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</si>
  <si>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</si>
  <si>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</si>
  <si>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</si>
  <si>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</si>
  <si>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</si>
  <si>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</si>
  <si>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</si>
  <si>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</si>
  <si>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</si>
  <si>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</si>
  <si>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</si>
  <si>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</si>
  <si>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</si>
  <si>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</si>
  <si>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</si>
  <si>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</si>
  <si>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</si>
  <si>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</si>
  <si>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</si>
  <si>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</si>
  <si>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</si>
  <si>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</si>
  <si>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</si>
  <si>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</si>
  <si>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</si>
  <si>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</si>
  <si>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</si>
  <si>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</si>
  <si>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</si>
  <si>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</si>
  <si>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</si>
  <si>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</si>
  <si>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</si>
  <si>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</si>
  <si>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</si>
  <si>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</si>
  <si>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</si>
  <si>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</si>
  <si>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</si>
  <si>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</si>
  <si>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</si>
  <si>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</si>
  <si>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</si>
  <si>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</si>
  <si>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</si>
  <si>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</si>
  <si>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</si>
  <si>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</si>
  <si>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</si>
  <si>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</si>
  <si>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</si>
  <si>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</si>
  <si>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</si>
  <si>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</si>
  <si>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</si>
  <si>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</si>
  <si>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</si>
  <si>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</si>
  <si>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</si>
  <si>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</si>
  <si>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</si>
  <si>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</si>
  <si>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</si>
  <si>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</si>
  <si>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</si>
  <si>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</si>
  <si>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</si>
  <si>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</si>
  <si>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</si>
  <si>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</si>
  <si>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</si>
  <si>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</si>
  <si>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</si>
  <si>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</si>
  <si>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</si>
  <si>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</si>
  <si>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</si>
  <si>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</si>
  <si>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</si>
  <si>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</si>
  <si>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</si>
  <si>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</si>
  <si>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</si>
  <si>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</si>
  <si>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</si>
  <si>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</si>
  <si>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</si>
  <si>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</si>
  <si>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</si>
  <si>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</si>
  <si>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</si>
  <si>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</si>
  <si>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</si>
  <si>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</si>
  <si>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</si>
  <si>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</si>
  <si>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</si>
  <si>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</si>
  <si>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</si>
  <si>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</si>
  <si>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</si>
  <si>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</si>
  <si>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</si>
  <si>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</si>
  <si>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</si>
  <si>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</si>
  <si>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</si>
  <si>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</si>
  <si>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</si>
  <si>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</si>
  <si>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</si>
  <si>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</si>
  <si>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</si>
  <si>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</si>
  <si>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</si>
  <si>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</si>
  <si>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</si>
  <si>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</si>
  <si>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</si>
  <si>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</si>
  <si>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</si>
  <si>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</si>
  <si>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</si>
  <si>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</si>
  <si>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</si>
  <si>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</si>
  <si>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</si>
  <si>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</si>
  <si>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</si>
  <si>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</si>
  <si>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</si>
  <si>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</si>
  <si>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</si>
  <si>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</si>
  <si>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</si>
  <si>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</si>
  <si>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</si>
  <si>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</si>
  <si>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</si>
  <si>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</si>
  <si>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</si>
  <si>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</si>
  <si>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</si>
  <si>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</si>
  <si>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</si>
  <si>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</si>
  <si>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</si>
  <si>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</si>
  <si>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</si>
  <si>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</si>
  <si>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</si>
  <si>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</si>
  <si>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</si>
  <si>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</si>
  <si>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</si>
  <si>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</si>
  <si>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</si>
  <si>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</si>
  <si>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</si>
  <si>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</si>
  <si>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</si>
  <si>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</si>
  <si>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</si>
  <si>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</si>
  <si>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</si>
  <si>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</si>
  <si>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</si>
  <si>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</si>
  <si>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</si>
  <si>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</si>
  <si>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</si>
  <si>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</si>
  <si>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</si>
  <si>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</si>
  <si>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</si>
  <si>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</si>
  <si>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</si>
  <si>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</si>
  <si>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</si>
  <si>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</si>
  <si>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</si>
  <si>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</si>
  <si>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</si>
  <si>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</si>
  <si>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</si>
  <si>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</si>
  <si>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</si>
  <si>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</si>
  <si>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</si>
  <si>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</si>
  <si>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Conditional Formatting Analysis</t>
  </si>
  <si>
    <t>Customer Total Purchase Analysis</t>
  </si>
  <si>
    <t>Profit Heatmap</t>
  </si>
  <si>
    <t>Total Sales</t>
  </si>
  <si>
    <t>Rank</t>
  </si>
  <si>
    <t>Avg Profit</t>
  </si>
  <si>
    <t>Indicator</t>
  </si>
  <si>
    <t>What-If: Discount Impact on Profit</t>
  </si>
  <si>
    <t>Base Assumptions</t>
  </si>
  <si>
    <t>Base Profit</t>
  </si>
  <si>
    <t>Profit Margin %</t>
  </si>
  <si>
    <t>Discount Scenario Analysis</t>
  </si>
  <si>
    <t>Discount %</t>
  </si>
  <si>
    <t>Sales After Disc.</t>
  </si>
  <si>
    <t>Projected Profit</t>
  </si>
  <si>
    <t>Profit Change $</t>
  </si>
  <si>
    <t>Profit Change %</t>
  </si>
  <si>
    <t>Margin %</t>
  </si>
  <si>
    <t>Decision</t>
  </si>
  <si>
    <t>Sensitivity: Qty vs Discount</t>
  </si>
  <si>
    <t>5%</t>
  </si>
  <si>
    <t>10%</t>
  </si>
  <si>
    <t>15%</t>
  </si>
  <si>
    <t>20%</t>
  </si>
  <si>
    <t>25%</t>
  </si>
  <si>
    <t>Qty=5</t>
  </si>
  <si>
    <t>Qty=10</t>
  </si>
  <si>
    <t>Qty=15</t>
  </si>
  <si>
    <t>Qty=20</t>
  </si>
  <si>
    <t>Qty=25</t>
  </si>
  <si>
    <t>Linear Regression: Profit vs Sales</t>
  </si>
  <si>
    <t>Regression Summary</t>
  </si>
  <si>
    <t>Profit = 0.1829 × Sales + 8.63</t>
  </si>
  <si>
    <t>Metric</t>
  </si>
  <si>
    <t>Value</t>
  </si>
  <si>
    <t>R²  (R-Square)</t>
  </si>
  <si>
    <t>Adjusted R²</t>
  </si>
  <si>
    <t>Actual Profit</t>
  </si>
  <si>
    <t>Predicted Profit</t>
  </si>
  <si>
    <t>Slope (Coefficient)</t>
  </si>
  <si>
    <t>Intercept</t>
  </si>
  <si>
    <t>Standard Error</t>
  </si>
  <si>
    <t>T-Statistic</t>
  </si>
  <si>
    <t>P-Value</t>
  </si>
  <si>
    <t>Observations</t>
  </si>
  <si>
    <t>Interpretation</t>
  </si>
  <si>
    <t>For every $1 increase in Sales, Profit increases by $0.1829</t>
  </si>
  <si>
    <t>R² = 0.6239 means 62.4% of Profit variation is explained by Sales</t>
  </si>
  <si>
    <t>P-Value = 0.000000 — Statistically Significant (p&lt;0.05)</t>
  </si>
  <si>
    <t>Descriptive Statistics — PR 2 Analyzer</t>
  </si>
  <si>
    <t>Statistic</t>
  </si>
  <si>
    <t>Sales Statistics Chart</t>
  </si>
  <si>
    <t>Count</t>
  </si>
  <si>
    <t>Sales Value</t>
  </si>
  <si>
    <t>Mean</t>
  </si>
  <si>
    <t>Median</t>
  </si>
  <si>
    <t>Mode</t>
  </si>
  <si>
    <t>Std Deviation</t>
  </si>
  <si>
    <t>Min</t>
  </si>
  <si>
    <t>Variance</t>
  </si>
  <si>
    <t>Max</t>
  </si>
  <si>
    <t>Minimum</t>
  </si>
  <si>
    <t>Std Dev</t>
  </si>
  <si>
    <t>Maximum</t>
  </si>
  <si>
    <t>Range</t>
  </si>
  <si>
    <t>Sum</t>
  </si>
  <si>
    <t>Skewness</t>
  </si>
  <si>
    <t>Kurtosis</t>
  </si>
  <si>
    <t>25th Percentile</t>
  </si>
  <si>
    <t>75th Percentile</t>
  </si>
  <si>
    <t>IQR</t>
  </si>
  <si>
    <t>Coeff of Variation</t>
  </si>
  <si>
    <t>Monthly Sales Growth Analysis</t>
  </si>
  <si>
    <t>2022</t>
  </si>
  <si>
    <t>2023</t>
  </si>
  <si>
    <t>2024</t>
  </si>
  <si>
    <t>YoY Growth 22→23</t>
  </si>
  <si>
    <t>YoY Growth 23→24</t>
  </si>
  <si>
    <t>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</si>
  <si>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</si>
  <si>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</si>
  <si>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</si>
  <si>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</si>
  <si>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</si>
  <si>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</si>
  <si>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</si>
  <si>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</si>
  <si>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</si>
  <si>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</si>
  <si>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</si>
  <si>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</si>
  <si>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</si>
  <si>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Workbook Timestamp Log</t>
  </si>
  <si>
    <t>Label</t>
  </si>
  <si>
    <t>Note</t>
  </si>
  <si>
    <t>Sum formula</t>
  </si>
  <si>
    <t>Total Profit</t>
  </si>
  <si>
    <t>Avg Discount</t>
  </si>
  <si>
    <t>Average formula</t>
  </si>
  <si>
    <t>Date Range</t>
  </si>
  <si>
    <t>MIN/MAX dates</t>
  </si>
  <si>
    <t>High Value Customer Analysis</t>
  </si>
  <si>
    <t>Orders</t>
  </si>
  <si>
    <t>Avg Order</t>
  </si>
  <si>
    <t>% of Total</t>
  </si>
  <si>
    <t>Tier</t>
  </si>
  <si>
    <t>Platinum</t>
  </si>
  <si>
    <t>Gold</t>
  </si>
  <si>
    <t>Silver</t>
  </si>
  <si>
    <t>Bronze</t>
  </si>
  <si>
    <t>Quick Lookup (XLOOKUP / INDEX-MATCH)</t>
  </si>
  <si>
    <t>Enter Customer Name →</t>
  </si>
  <si>
    <t>Total Sales:</t>
  </si>
  <si>
    <t>Total Profit:</t>
  </si>
  <si>
    <t>Customer Tier:</t>
  </si>
  <si>
    <t>Pivot Table Analysis — PR 2 Analyzer</t>
  </si>
  <si>
    <t>Sales by Region</t>
  </si>
  <si>
    <t>Sales by Product</t>
  </si>
  <si>
    <t>Profit by Category</t>
  </si>
  <si>
    <t>Total Qty</t>
  </si>
  <si>
    <t>Qty</t>
  </si>
  <si>
    <t>Monthly Sales Trend</t>
  </si>
  <si>
    <t>% Margin</t>
  </si>
  <si>
    <t>Professional Charts Gallery — PR 2 Analyzer</t>
  </si>
  <si>
    <t>Quarter</t>
  </si>
  <si>
    <t>Q1</t>
  </si>
  <si>
    <t>Q2</t>
  </si>
  <si>
    <t>Q3</t>
  </si>
  <si>
    <t>Q4</t>
  </si>
  <si>
    <t xml:space="preserve">  📊  PR 2 ANALYZER — Executive Sales Dashboard</t>
  </si>
  <si>
    <t xml:space="preserve">  Real-Time KPIs  |  Regional Analysis  |  Customer Insights  |  Trend Analysis</t>
  </si>
  <si>
    <t>💰</t>
  </si>
  <si>
    <t>📈</t>
  </si>
  <si>
    <t>🏷️</t>
  </si>
  <si>
    <t>📦</t>
  </si>
  <si>
    <t>⭐</t>
  </si>
  <si>
    <t>Total Orders</t>
  </si>
  <si>
    <t>Avg Order Value</t>
  </si>
  <si>
    <t>📊  Regional Performance</t>
  </si>
  <si>
    <t>📅  Monthly Sales Trend</t>
  </si>
  <si>
    <t>Margin</t>
  </si>
  <si>
    <t>🏅 Best Region: North</t>
  </si>
  <si>
    <t>🥇 Top Product: Headphones</t>
  </si>
  <si>
    <t>🏆  Top 10 Customers</t>
  </si>
  <si>
    <t>🥧  Category Breakdown</t>
  </si>
  <si>
    <t>#</t>
  </si>
  <si>
    <t>Customer</t>
  </si>
  <si>
    <t>💡  Automated Business Insights</t>
  </si>
  <si>
    <t>🏆 Best Region: North with total sales of $288,583</t>
  </si>
  <si>
    <t>💎 Most Profitable Product: Headphones (highest cumulative profit)</t>
  </si>
  <si>
    <t>👤 Top Customer: Rachel Davis — contributed $59,482 in revenue</t>
  </si>
  <si>
    <t>📉 Discount Impact: A 15% avg discount reduces profit by ~$37,298</t>
  </si>
  <si>
    <t>📊 R² = 0.6239 — Sales is a strong predictor of Profit</t>
  </si>
  <si>
    <t>📅 Seasonal Peak: Jan shows highest 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</si>
</sst>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dd\-mmm\-yyyy"/>
    <numFmt numFmtId="166" formatCode="0.00\%"/>
    <numFmt numFmtId="168" formatCode="\$#,##0"/>
    <numFmt numFmtId="169" formatCode="0.0%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2"/>
      <color rgb="FF1F3864"/>
      <name val="Arial"/>
      <charset val="1"/>
    </font>
    <font>
      <b/>
      <sz val="11"/>
      <color rgb="FF000000"/>
      <name val="Arial"/>
      <charset val="1"/>
    </font>
    <font>
      <b/>
      <i/>
      <sz val="13"/>
      <color rgb="FF1F3864"/>
      <name val="Arial"/>
      <charset val="1"/>
    </font>
    <font>
      <sz val="10"/>
      <color rgb="FF1F3864"/>
      <name val="Arial"/>
      <charset val="1"/>
    </font>
    <font>
      <b/>
      <sz val="10"/>
      <color rgb="FF000000"/>
      <name val="Arial"/>
      <charset val="1"/>
    </font>
    <font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6"/>
      <color rgb="FFFFFFFF"/>
      <name val="Arial"/>
      <charset val="1"/>
    </font>
    <font>
      <sz val="10"/>
      <color rgb="FFFFFFFF"/>
      <name val="Arial"/>
      <charset val="1"/>
    </font>
    <font>
      <sz val="14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F3864"/>
      <name val="Arial"/>
      <charset val="1"/>
    </font>
    <font>
      <b/>
      <sz val="9"/>
      <color rgb="FF000000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F81BD"/>
      </patternFill>
    </fill>
    <fill>
      <patternFill patternType="solid">
        <fgColor rgb="FFEBF3FB"/>
        <bgColor rgb="FFF0F4F8"/>
      </patternFill>
    </fill>
    <fill>
      <patternFill patternType="solid">
        <fgColor rgb="FFED7D31"/>
        <bgColor rgb="FFFF8080"/>
      </patternFill>
    </fill>
    <fill>
      <patternFill patternType="solid">
        <fgColor rgb="FF00B0A0"/>
        <bgColor rgb="FF008080"/>
      </patternFill>
    </fill>
    <fill>
      <patternFill patternType="solid">
        <fgColor rgb="FFFFF2CC"/>
        <bgColor rgb="FFFDEBD0"/>
      </patternFill>
    </fill>
    <fill>
      <patternFill patternType="solid">
        <fgColor rgb="FFFFFFFF"/>
        <bgColor rgb="FFF9F9F9"/>
      </patternFill>
    </fill>
    <fill>
      <patternFill patternType="solid">
        <fgColor rgb="FFFFD700"/>
        <bgColor rgb="FFFF9900"/>
      </patternFill>
    </fill>
    <fill>
      <patternFill patternType="solid">
        <fgColor rgb="FFF2F2F2"/>
        <bgColor rgb="FFF0F4F8"/>
      </patternFill>
    </fill>
    <fill>
      <patternFill patternType="solid">
        <fgColor rgb="FFFDEBD0"/>
        <bgColor rgb="FFFFF2CC"/>
      </patternFill>
    </fill>
    <fill>
      <patternFill patternType="solid">
        <fgColor rgb="FFC55A11"/>
        <bgColor rgb="FFC0504D"/>
      </patternFill>
    </fill>
    <fill>
      <patternFill patternType="solid">
        <fgColor rgb="FF375623"/>
        <bgColor rgb="FF276221"/>
      </patternFill>
    </fill>
    <fill>
      <patternFill patternType="solid">
        <fgColor rgb="FFF0F4F8"/>
        <bgColor rgb="FFF2F2F2"/>
      </patternFill>
    </fill>
    <fill>
      <patternFill patternType="solid">
        <fgColor rgb="FF70AD47"/>
        <bgColor rgb="FF9BBB59"/>
      </patternFill>
    </fill>
    <fill>
      <patternFill patternType="solid">
        <fgColor rgb="FFB8860B"/>
        <bgColor rgb="FFED7D31"/>
      </patternFill>
    </fill>
    <fill>
      <patternFill patternType="solid">
        <fgColor rgb="FFBDD7EE"/>
        <bgColor rgb="FFD9D9D9"/>
      </patternFill>
    </fill>
    <fill>
      <patternFill patternType="solid">
        <fgColor rgb="FFDDEEFF"/>
        <bgColor rgb="FFEBF3FB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F2F2F2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2E75B6"/>
      </left>
      <right/>
      <top style="medium">
        <color rgb="FF2E75B6"/>
      </top>
      <bottom/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3" fillId="15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0" fillId="13" borderId="0" xfId="0" applyFont="1" applyFill="1"/>
    <xf numFmtId="0" fontId="10" fillId="12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7" fillId="7" borderId="0" xfId="0" applyFont="1" applyFill="1"/>
    <xf numFmtId="0" fontId="6" fillId="7" borderId="2" xfId="0" applyFont="1" applyFill="1" applyBorder="1" applyAlignment="1">
      <alignment horizontal="center" vertical="center" wrapText="1"/>
    </xf>
    <xf numFmtId="0" fontId="4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9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4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/>
    <xf numFmtId="164" fontId="0" fillId="0" borderId="1" xfId="0" applyNumberFormat="1" applyBorder="1"/>
    <xf numFmtId="0" fontId="5" fillId="0" borderId="0" xfId="0" applyFont="1"/>
    <xf numFmtId="164" fontId="0" fillId="0" borderId="0" xfId="0" applyNumberFormat="1"/>
    <xf numFmtId="166" fontId="0" fillId="0" borderId="0" xfId="0" applyNumberFormat="1"/>
    <xf numFmtId="0" fontId="2" fillId="6" borderId="1" xfId="0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8" borderId="1" xfId="0" applyFill="1" applyBorder="1"/>
    <xf numFmtId="0" fontId="0" fillId="0" borderId="1" xfId="0" applyBorder="1" applyAlignment="1">
      <alignment horizontal="right" vertical="center"/>
    </xf>
    <xf numFmtId="0" fontId="0" fillId="4" borderId="1" xfId="0" applyFill="1" applyBorder="1"/>
    <xf numFmtId="0" fontId="0" fillId="4" borderId="1" xfId="0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right" vertical="center"/>
    </xf>
    <xf numFmtId="10" fontId="0" fillId="4" borderId="1" xfId="0" applyNumberFormat="1" applyFill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" borderId="0" xfId="0" applyFont="1" applyFill="1"/>
    <xf numFmtId="164" fontId="2" fillId="2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center" vertical="center" wrapText="1"/>
    </xf>
    <xf numFmtId="10" fontId="3" fillId="9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center" vertical="center" wrapText="1"/>
    </xf>
    <xf numFmtId="10" fontId="3" fillId="7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center" vertical="center" wrapText="1"/>
    </xf>
    <xf numFmtId="10" fontId="3" fillId="10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/>
    </xf>
    <xf numFmtId="164" fontId="3" fillId="11" borderId="1" xfId="0" applyNumberFormat="1" applyFont="1" applyFill="1" applyBorder="1" applyAlignment="1">
      <alignment horizontal="center" vertical="center" wrapText="1"/>
    </xf>
    <xf numFmtId="10" fontId="3" fillId="11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/>
    <xf numFmtId="0" fontId="0" fillId="7" borderId="1" xfId="0" applyFill="1" applyBorder="1"/>
    <xf numFmtId="0" fontId="2" fillId="1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/>
    </xf>
    <xf numFmtId="2" fontId="0" fillId="4" borderId="1" xfId="0" applyNumberForma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center" vertical="center" wrapText="1"/>
    </xf>
    <xf numFmtId="164" fontId="0" fillId="4" borderId="1" xfId="0" applyNumberFormat="1" applyFill="1" applyBorder="1"/>
    <xf numFmtId="10" fontId="0" fillId="4" borderId="1" xfId="0" applyNumberFormat="1" applyFill="1" applyBorder="1"/>
    <xf numFmtId="10" fontId="0" fillId="0" borderId="1" xfId="0" applyNumberFormat="1" applyBorder="1"/>
    <xf numFmtId="168" fontId="0" fillId="0" borderId="0" xfId="0" applyNumberFormat="1"/>
    <xf numFmtId="0" fontId="2" fillId="3" borderId="0" xfId="0" applyFont="1" applyFill="1"/>
    <xf numFmtId="0" fontId="8" fillId="0" borderId="0" xfId="0" applyFont="1"/>
    <xf numFmtId="0" fontId="0" fillId="14" borderId="0" xfId="0" applyFill="1"/>
    <xf numFmtId="0" fontId="15" fillId="3" borderId="1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left" vertical="center"/>
    </xf>
    <xf numFmtId="168" fontId="16" fillId="17" borderId="1" xfId="0" applyNumberFormat="1" applyFont="1" applyFill="1" applyBorder="1" applyAlignment="1">
      <alignment horizontal="center" vertical="center" wrapText="1"/>
    </xf>
    <xf numFmtId="169" fontId="16" fillId="17" borderId="1" xfId="0" applyNumberFormat="1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horizontal="left" vertical="center"/>
    </xf>
    <xf numFmtId="168" fontId="16" fillId="18" borderId="1" xfId="0" applyNumberFormat="1" applyFont="1" applyFill="1" applyBorder="1" applyAlignment="1">
      <alignment horizontal="center" vertical="center" wrapText="1"/>
    </xf>
    <xf numFmtId="169" fontId="16" fillId="18" borderId="1" xfId="0" applyNumberFormat="1" applyFont="1" applyFill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left" vertical="center"/>
    </xf>
    <xf numFmtId="168" fontId="16" fillId="19" borderId="1" xfId="0" applyNumberFormat="1" applyFont="1" applyFill="1" applyBorder="1" applyAlignment="1">
      <alignment horizontal="center" vertical="center" wrapText="1"/>
    </xf>
    <xf numFmtId="169" fontId="16" fillId="19" borderId="1" xfId="0" applyNumberFormat="1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/>
    </xf>
    <xf numFmtId="168" fontId="16" fillId="7" borderId="1" xfId="0" applyNumberFormat="1" applyFont="1" applyFill="1" applyBorder="1" applyAlignment="1">
      <alignment horizontal="center" vertical="center" wrapText="1"/>
    </xf>
    <xf numFmtId="169" fontId="16" fillId="7" borderId="1" xfId="0" applyNumberFormat="1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left" vertical="center"/>
    </xf>
    <xf numFmtId="168" fontId="16" fillId="11" borderId="1" xfId="0" applyNumberFormat="1" applyFont="1" applyFill="1" applyBorder="1" applyAlignment="1">
      <alignment horizontal="center" vertical="center" wrapText="1"/>
    </xf>
    <xf numFmtId="169" fontId="16" fillId="11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/>
    </xf>
    <xf numFmtId="168" fontId="18" fillId="9" borderId="1" xfId="0" applyNumberFormat="1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left" vertical="center"/>
    </xf>
    <xf numFmtId="168" fontId="16" fillId="10" borderId="1" xfId="0" applyNumberFormat="1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3" fillId="16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168" fontId="11" fillId="3" borderId="0" xfId="0" applyNumberFormat="1" applyFont="1" applyFill="1" applyAlignment="1">
      <alignment horizontal="center" vertical="center"/>
    </xf>
    <xf numFmtId="168" fontId="11" fillId="6" borderId="0" xfId="0" applyNumberFormat="1" applyFont="1" applyFill="1" applyAlignment="1">
      <alignment horizontal="center" vertical="center"/>
    </xf>
    <xf numFmtId="169" fontId="11" fillId="12" borderId="0" xfId="0" applyNumberFormat="1" applyFont="1" applyFill="1" applyAlignment="1">
      <alignment horizontal="center" vertical="center"/>
    </xf>
    <xf numFmtId="3" fontId="11" fillId="15" borderId="0" xfId="0" applyNumberFormat="1" applyFont="1" applyFill="1" applyAlignment="1">
      <alignment horizontal="center" vertical="center"/>
    </xf>
    <xf numFmtId="168" fontId="11" fillId="16" borderId="0" xfId="0" applyNumberFormat="1" applyFont="1" applyFill="1" applyAlignment="1">
      <alignment horizontal="center" vertical="center"/>
    </xf>
    <xf numFmtId="0" fontId="0" fillId="8" borderId="0" xfId="0" applyFill="1"/>
    <xf numFmtId="0" fontId="10" fillId="2" borderId="0" xfId="0" applyFont="1" applyFill="1" applyAlignment="1">
      <alignment horizontal="left" vertical="center" indent="1"/>
    </xf>
    <xf numFmtId="0" fontId="17" fillId="7" borderId="3" xfId="0" applyFont="1" applyFill="1" applyBorder="1" applyAlignment="1">
      <alignment horizontal="center" vertical="center" wrapText="1"/>
    </xf>
    <xf numFmtId="0" fontId="17" fillId="20" borderId="3" xfId="0" applyFont="1" applyFill="1" applyBorder="1" applyAlignment="1">
      <alignment horizontal="center" vertical="center" wrapText="1"/>
    </xf>
    <xf numFmtId="0" fontId="10" fillId="12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2"/>
    </xf>
    <xf numFmtId="0" fontId="7" fillId="8" borderId="0" xfId="0" applyFont="1" applyFill="1" applyAlignment="1">
      <alignment horizontal="left" vertical="center" indent="2"/>
    </xf>
  </cellXfs>
  <cellStyles count="1">
    <cellStyle name="Normal" xfId="0" builtinId="0"/>
  </cellStyles>
  <dxfs count="5">
    <dxf>
      <font>
        <b/>
        <color rgb="FFC00000"/>
      </font>
      <fill>
        <patternFill>
          <bgColor rgb="FFFFDAD6"/>
        </patternFill>
      </fill>
    </dxf>
    <dxf>
      <font>
        <b/>
        <color rgb="FF276221"/>
      </font>
      <fill>
        <patternFill>
          <bgColor rgb="FFE2EFDA"/>
        </patternFill>
      </fill>
    </dxf>
    <dxf>
      <font>
        <b/>
        <color rgb="FF276221"/>
      </font>
      <fill>
        <patternFill>
          <bgColor rgb="FFE2EFDA"/>
        </patternFill>
      </fill>
    </dxf>
    <dxf>
      <font>
        <b/>
        <color rgb="FFC00000"/>
      </font>
      <fill>
        <patternFill>
          <bgColor rgb="FFFFDAD6"/>
        </patternFill>
      </fill>
    </dxf>
    <dxf>
      <font>
        <b/>
        <color rgb="FF27622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800000"/>
      <rgbColor rgb="FF276221"/>
      <rgbColor rgb="FF000080"/>
      <rgbColor rgb="FFB8860B"/>
      <rgbColor rgb="FF800080"/>
      <rgbColor rgb="FF008080"/>
      <rgbColor rgb="FFB0B0B0"/>
      <rgbColor rgb="FF808080"/>
      <rgbColor rgb="FF70AD47"/>
      <rgbColor rgb="FFC0504D"/>
      <rgbColor rgb="FFFFF2CC"/>
      <rgbColor rgb="FFDDEEFF"/>
      <rgbColor rgb="FF660066"/>
      <rgbColor rgb="FFFF8080"/>
      <rgbColor rgb="FF0066CC"/>
      <rgbColor rgb="FFBDD7EE"/>
      <rgbColor rgb="FF000080"/>
      <rgbColor rgb="FFFF00FF"/>
      <rgbColor rgb="FFF0F4F8"/>
      <rgbColor rgb="FF00FFFF"/>
      <rgbColor rgb="FF800080"/>
      <rgbColor rgb="FF800000"/>
      <rgbColor rgb="FF008080"/>
      <rgbColor rgb="FF0000FF"/>
      <rgbColor rgb="FF00B0A0"/>
      <rgbColor rgb="FFEBF3FB"/>
      <rgbColor rgb="FFC6EFCE"/>
      <rgbColor rgb="FFFDEBD0"/>
      <rgbColor rgb="FFD9D9D9"/>
      <rgbColor rgb="FFE2EFDA"/>
      <rgbColor rgb="FFF2F2F2"/>
      <rgbColor rgb="FFFFDAD6"/>
      <rgbColor rgb="FF2E75B6"/>
      <rgbColor rgb="FF4BACC6"/>
      <rgbColor rgb="FF9BBB59"/>
      <rgbColor rgb="FFFFD700"/>
      <rgbColor rgb="FFFF9900"/>
      <rgbColor rgb="FFED7D31"/>
      <rgbColor rgb="FF8064A2"/>
      <rgbColor rgb="FF878787"/>
      <rgbColor rgb="FF1F3864"/>
      <rgbColor rgb="FF4F81BD"/>
      <rgbColor rgb="FF003300"/>
      <rgbColor rgb="FF333300"/>
      <rgbColor rgb="FFC55A11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vs Sales — Regression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Profit</c:v>
          </c:tx>
          <c:spPr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Linear_Regression!$D$7:$D$86</c:f>
              <c:numCache>
                <c:formatCode>General</c:formatCode>
                <c:ptCount val="80"/>
                <c:pt idx="0">
                  <c:v>4546.0200000000004</c:v>
                </c:pt>
                <c:pt idx="1">
                  <c:v>3672.09</c:v>
                </c:pt>
                <c:pt idx="2">
                  <c:v>2099.77</c:v>
                </c:pt>
                <c:pt idx="3">
                  <c:v>2780.65</c:v>
                </c:pt>
                <c:pt idx="4">
                  <c:v>4091.7</c:v>
                </c:pt>
                <c:pt idx="5">
                  <c:v>3384.26</c:v>
                </c:pt>
                <c:pt idx="6">
                  <c:v>2749.43</c:v>
                </c:pt>
                <c:pt idx="7">
                  <c:v>1258.5899999999999</c:v>
                </c:pt>
                <c:pt idx="8">
                  <c:v>3557.43</c:v>
                </c:pt>
                <c:pt idx="9">
                  <c:v>773.86</c:v>
                </c:pt>
                <c:pt idx="10">
                  <c:v>3030.02</c:v>
                </c:pt>
                <c:pt idx="11">
                  <c:v>3995.56</c:v>
                </c:pt>
                <c:pt idx="12">
                  <c:v>1351.35</c:v>
                </c:pt>
                <c:pt idx="13">
                  <c:v>356.67</c:v>
                </c:pt>
                <c:pt idx="14">
                  <c:v>2456.0500000000002</c:v>
                </c:pt>
                <c:pt idx="15">
                  <c:v>3188.64</c:v>
                </c:pt>
                <c:pt idx="16">
                  <c:v>2850.81</c:v>
                </c:pt>
                <c:pt idx="17">
                  <c:v>3981.04</c:v>
                </c:pt>
                <c:pt idx="18">
                  <c:v>4677.6899999999996</c:v>
                </c:pt>
                <c:pt idx="19">
                  <c:v>3774.58</c:v>
                </c:pt>
                <c:pt idx="20">
                  <c:v>1620.19</c:v>
                </c:pt>
                <c:pt idx="21">
                  <c:v>4147.6000000000004</c:v>
                </c:pt>
                <c:pt idx="22">
                  <c:v>417.66</c:v>
                </c:pt>
                <c:pt idx="23">
                  <c:v>3977.49</c:v>
                </c:pt>
                <c:pt idx="24">
                  <c:v>1511.7</c:v>
                </c:pt>
                <c:pt idx="25">
                  <c:v>3821.29</c:v>
                </c:pt>
                <c:pt idx="26">
                  <c:v>3843.93</c:v>
                </c:pt>
                <c:pt idx="27">
                  <c:v>2111.48</c:v>
                </c:pt>
                <c:pt idx="28">
                  <c:v>800.82</c:v>
                </c:pt>
                <c:pt idx="29">
                  <c:v>550.27</c:v>
                </c:pt>
                <c:pt idx="30">
                  <c:v>393.22</c:v>
                </c:pt>
                <c:pt idx="31">
                  <c:v>3434.27</c:v>
                </c:pt>
                <c:pt idx="32">
                  <c:v>1195.24</c:v>
                </c:pt>
                <c:pt idx="33">
                  <c:v>1481.57</c:v>
                </c:pt>
                <c:pt idx="34">
                  <c:v>4946.42</c:v>
                </c:pt>
                <c:pt idx="35">
                  <c:v>2753.28</c:v>
                </c:pt>
                <c:pt idx="36">
                  <c:v>2342.92</c:v>
                </c:pt>
                <c:pt idx="37">
                  <c:v>492.6</c:v>
                </c:pt>
                <c:pt idx="38">
                  <c:v>2934.99</c:v>
                </c:pt>
                <c:pt idx="39">
                  <c:v>3717.31</c:v>
                </c:pt>
                <c:pt idx="40">
                  <c:v>2541.6999999999998</c:v>
                </c:pt>
                <c:pt idx="41">
                  <c:v>282.27999999999997</c:v>
                </c:pt>
                <c:pt idx="42">
                  <c:v>1367.4</c:v>
                </c:pt>
                <c:pt idx="43">
                  <c:v>1501.26</c:v>
                </c:pt>
                <c:pt idx="44">
                  <c:v>1295.06</c:v>
                </c:pt>
                <c:pt idx="45">
                  <c:v>3140.85</c:v>
                </c:pt>
                <c:pt idx="46">
                  <c:v>724.94</c:v>
                </c:pt>
                <c:pt idx="47">
                  <c:v>1870.04</c:v>
                </c:pt>
                <c:pt idx="48">
                  <c:v>855.37</c:v>
                </c:pt>
                <c:pt idx="49">
                  <c:v>748.19</c:v>
                </c:pt>
                <c:pt idx="50">
                  <c:v>4950.92</c:v>
                </c:pt>
                <c:pt idx="51">
                  <c:v>4120.3</c:v>
                </c:pt>
                <c:pt idx="52">
                  <c:v>2669.19</c:v>
                </c:pt>
                <c:pt idx="53">
                  <c:v>2765.24</c:v>
                </c:pt>
                <c:pt idx="54">
                  <c:v>836.96</c:v>
                </c:pt>
                <c:pt idx="55">
                  <c:v>240.68</c:v>
                </c:pt>
                <c:pt idx="56">
                  <c:v>2080.4</c:v>
                </c:pt>
                <c:pt idx="57">
                  <c:v>2954.78</c:v>
                </c:pt>
                <c:pt idx="58">
                  <c:v>2464.4699999999998</c:v>
                </c:pt>
                <c:pt idx="59">
                  <c:v>775.59</c:v>
                </c:pt>
                <c:pt idx="60">
                  <c:v>4311.55</c:v>
                </c:pt>
                <c:pt idx="61">
                  <c:v>1815.49</c:v>
                </c:pt>
                <c:pt idx="62">
                  <c:v>1672.75</c:v>
                </c:pt>
                <c:pt idx="63">
                  <c:v>1864.69</c:v>
                </c:pt>
                <c:pt idx="64">
                  <c:v>379.84</c:v>
                </c:pt>
                <c:pt idx="65">
                  <c:v>2055.52</c:v>
                </c:pt>
                <c:pt idx="66">
                  <c:v>3485.18</c:v>
                </c:pt>
                <c:pt idx="67">
                  <c:v>4154.45</c:v>
                </c:pt>
                <c:pt idx="68">
                  <c:v>3322.59</c:v>
                </c:pt>
                <c:pt idx="69">
                  <c:v>2477.1</c:v>
                </c:pt>
                <c:pt idx="70">
                  <c:v>4684.9799999999996</c:v>
                </c:pt>
                <c:pt idx="71">
                  <c:v>1192.8900000000001</c:v>
                </c:pt>
                <c:pt idx="72">
                  <c:v>4480.42</c:v>
                </c:pt>
                <c:pt idx="73">
                  <c:v>4411.8900000000003</c:v>
                </c:pt>
                <c:pt idx="74">
                  <c:v>3948.44</c:v>
                </c:pt>
                <c:pt idx="75">
                  <c:v>3991.56</c:v>
                </c:pt>
                <c:pt idx="76">
                  <c:v>698.85</c:v>
                </c:pt>
                <c:pt idx="77">
                  <c:v>3004.02</c:v>
                </c:pt>
                <c:pt idx="78">
                  <c:v>2605.39</c:v>
                </c:pt>
                <c:pt idx="79">
                  <c:v>1893.91</c:v>
                </c:pt>
              </c:numCache>
            </c:numRef>
          </c:xVal>
          <c:yVal>
            <c:numRef>
              <c:f>Linear_Regression!$E$7:$E$86</c:f>
              <c:numCache>
                <c:formatCode>General</c:formatCode>
                <c:ptCount val="80"/>
                <c:pt idx="0">
                  <c:v>454.86</c:v>
                </c:pt>
                <c:pt idx="1">
                  <c:v>672.14</c:v>
                </c:pt>
                <c:pt idx="2">
                  <c:v>382.49</c:v>
                </c:pt>
                <c:pt idx="3">
                  <c:v>346.82</c:v>
                </c:pt>
                <c:pt idx="4">
                  <c:v>347.62</c:v>
                </c:pt>
                <c:pt idx="5">
                  <c:v>900.02</c:v>
                </c:pt>
                <c:pt idx="6">
                  <c:v>513.16999999999996</c:v>
                </c:pt>
                <c:pt idx="7">
                  <c:v>190.56</c:v>
                </c:pt>
                <c:pt idx="8">
                  <c:v>429.22</c:v>
                </c:pt>
                <c:pt idx="9">
                  <c:v>196.01</c:v>
                </c:pt>
                <c:pt idx="10">
                  <c:v>566.30999999999995</c:v>
                </c:pt>
                <c:pt idx="11">
                  <c:v>1056.95</c:v>
                </c:pt>
                <c:pt idx="12">
                  <c:v>120.37</c:v>
                </c:pt>
                <c:pt idx="13">
                  <c:v>83.9</c:v>
                </c:pt>
                <c:pt idx="14">
                  <c:v>360.21</c:v>
                </c:pt>
                <c:pt idx="15">
                  <c:v>653.92999999999995</c:v>
                </c:pt>
                <c:pt idx="16">
                  <c:v>422.96</c:v>
                </c:pt>
                <c:pt idx="17">
                  <c:v>1032.55</c:v>
                </c:pt>
                <c:pt idx="18">
                  <c:v>1453.24</c:v>
                </c:pt>
                <c:pt idx="19">
                  <c:v>593.41999999999996</c:v>
                </c:pt>
                <c:pt idx="20">
                  <c:v>145.27000000000001</c:v>
                </c:pt>
                <c:pt idx="21">
                  <c:v>448.04</c:v>
                </c:pt>
                <c:pt idx="22">
                  <c:v>69.87</c:v>
                </c:pt>
                <c:pt idx="23">
                  <c:v>419.38</c:v>
                </c:pt>
                <c:pt idx="24">
                  <c:v>424.53</c:v>
                </c:pt>
                <c:pt idx="25">
                  <c:v>974.69</c:v>
                </c:pt>
                <c:pt idx="26">
                  <c:v>526.9</c:v>
                </c:pt>
                <c:pt idx="27">
                  <c:v>345.78</c:v>
                </c:pt>
                <c:pt idx="28">
                  <c:v>172.63</c:v>
                </c:pt>
                <c:pt idx="29">
                  <c:v>72.94</c:v>
                </c:pt>
                <c:pt idx="30">
                  <c:v>50.15</c:v>
                </c:pt>
                <c:pt idx="31">
                  <c:v>675.66</c:v>
                </c:pt>
                <c:pt idx="32">
                  <c:v>355.11</c:v>
                </c:pt>
                <c:pt idx="33">
                  <c:v>221</c:v>
                </c:pt>
                <c:pt idx="34">
                  <c:v>857.55</c:v>
                </c:pt>
                <c:pt idx="35">
                  <c:v>401.13</c:v>
                </c:pt>
                <c:pt idx="36">
                  <c:v>358.76</c:v>
                </c:pt>
                <c:pt idx="37">
                  <c:v>118.2</c:v>
                </c:pt>
                <c:pt idx="38">
                  <c:v>593.87</c:v>
                </c:pt>
                <c:pt idx="39">
                  <c:v>449.68</c:v>
                </c:pt>
                <c:pt idx="40">
                  <c:v>562.73</c:v>
                </c:pt>
                <c:pt idx="41">
                  <c:v>68.099999999999994</c:v>
                </c:pt>
                <c:pt idx="42">
                  <c:v>215.36</c:v>
                </c:pt>
                <c:pt idx="43">
                  <c:v>386.65</c:v>
                </c:pt>
                <c:pt idx="44">
                  <c:v>325.66000000000003</c:v>
                </c:pt>
                <c:pt idx="45">
                  <c:v>814.82</c:v>
                </c:pt>
                <c:pt idx="46">
                  <c:v>216.93</c:v>
                </c:pt>
                <c:pt idx="47">
                  <c:v>380.5</c:v>
                </c:pt>
                <c:pt idx="48">
                  <c:v>233.32</c:v>
                </c:pt>
                <c:pt idx="49">
                  <c:v>171.61</c:v>
                </c:pt>
                <c:pt idx="50">
                  <c:v>1335.74</c:v>
                </c:pt>
                <c:pt idx="51">
                  <c:v>1042.68</c:v>
                </c:pt>
                <c:pt idx="52">
                  <c:v>339.53</c:v>
                </c:pt>
                <c:pt idx="53">
                  <c:v>851.22</c:v>
                </c:pt>
                <c:pt idx="54">
                  <c:v>173.15</c:v>
                </c:pt>
                <c:pt idx="55">
                  <c:v>45.49</c:v>
                </c:pt>
                <c:pt idx="56">
                  <c:v>584.91</c:v>
                </c:pt>
                <c:pt idx="57">
                  <c:v>440.99</c:v>
                </c:pt>
                <c:pt idx="58">
                  <c:v>650.73</c:v>
                </c:pt>
                <c:pt idx="59">
                  <c:v>210.74</c:v>
                </c:pt>
                <c:pt idx="60">
                  <c:v>476.53</c:v>
                </c:pt>
                <c:pt idx="61">
                  <c:v>206.96</c:v>
                </c:pt>
                <c:pt idx="62">
                  <c:v>187.45</c:v>
                </c:pt>
                <c:pt idx="63">
                  <c:v>225.02</c:v>
                </c:pt>
                <c:pt idx="64">
                  <c:v>64.81</c:v>
                </c:pt>
                <c:pt idx="65">
                  <c:v>579.88</c:v>
                </c:pt>
                <c:pt idx="66">
                  <c:v>323.31</c:v>
                </c:pt>
                <c:pt idx="67">
                  <c:v>1190.45</c:v>
                </c:pt>
                <c:pt idx="68">
                  <c:v>611.72</c:v>
                </c:pt>
                <c:pt idx="69">
                  <c:v>337.47</c:v>
                </c:pt>
                <c:pt idx="70">
                  <c:v>1097.03</c:v>
                </c:pt>
                <c:pt idx="71">
                  <c:v>322.17</c:v>
                </c:pt>
                <c:pt idx="72">
                  <c:v>948.47</c:v>
                </c:pt>
                <c:pt idx="73">
                  <c:v>1066.18</c:v>
                </c:pt>
                <c:pt idx="74">
                  <c:v>971.3</c:v>
                </c:pt>
                <c:pt idx="75">
                  <c:v>567.36</c:v>
                </c:pt>
                <c:pt idx="76">
                  <c:v>161.01</c:v>
                </c:pt>
                <c:pt idx="77">
                  <c:v>544.59</c:v>
                </c:pt>
                <c:pt idx="78">
                  <c:v>493.03</c:v>
                </c:pt>
                <c:pt idx="79">
                  <c:v>356.92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5D-44B2-AA29-81A170239B49}"/>
            </c:ext>
          </c:extLst>
        </c:ser>
        <c:ser>
          <c:idx val="1"/>
          <c:order val="1"/>
          <c:tx>
            <c:v>Regression Line</c:v>
          </c:tx>
          <c:spPr>
            <a:ln w="24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Linear_Regression!$D$7:$D$86</c:f>
              <c:numCache>
                <c:formatCode>General</c:formatCode>
                <c:ptCount val="80"/>
                <c:pt idx="0">
                  <c:v>4546.0200000000004</c:v>
                </c:pt>
                <c:pt idx="1">
                  <c:v>3672.09</c:v>
                </c:pt>
                <c:pt idx="2">
                  <c:v>2099.77</c:v>
                </c:pt>
                <c:pt idx="3">
                  <c:v>2780.65</c:v>
                </c:pt>
                <c:pt idx="4">
                  <c:v>4091.7</c:v>
                </c:pt>
                <c:pt idx="5">
                  <c:v>3384.26</c:v>
                </c:pt>
                <c:pt idx="6">
                  <c:v>2749.43</c:v>
                </c:pt>
                <c:pt idx="7">
                  <c:v>1258.5899999999999</c:v>
                </c:pt>
                <c:pt idx="8">
                  <c:v>3557.43</c:v>
                </c:pt>
                <c:pt idx="9">
                  <c:v>773.86</c:v>
                </c:pt>
                <c:pt idx="10">
                  <c:v>3030.02</c:v>
                </c:pt>
                <c:pt idx="11">
                  <c:v>3995.56</c:v>
                </c:pt>
                <c:pt idx="12">
                  <c:v>1351.35</c:v>
                </c:pt>
                <c:pt idx="13">
                  <c:v>356.67</c:v>
                </c:pt>
                <c:pt idx="14">
                  <c:v>2456.0500000000002</c:v>
                </c:pt>
                <c:pt idx="15">
                  <c:v>3188.64</c:v>
                </c:pt>
                <c:pt idx="16">
                  <c:v>2850.81</c:v>
                </c:pt>
                <c:pt idx="17">
                  <c:v>3981.04</c:v>
                </c:pt>
                <c:pt idx="18">
                  <c:v>4677.6899999999996</c:v>
                </c:pt>
                <c:pt idx="19">
                  <c:v>3774.58</c:v>
                </c:pt>
                <c:pt idx="20">
                  <c:v>1620.19</c:v>
                </c:pt>
                <c:pt idx="21">
                  <c:v>4147.6000000000004</c:v>
                </c:pt>
                <c:pt idx="22">
                  <c:v>417.66</c:v>
                </c:pt>
                <c:pt idx="23">
                  <c:v>3977.49</c:v>
                </c:pt>
                <c:pt idx="24">
                  <c:v>1511.7</c:v>
                </c:pt>
                <c:pt idx="25">
                  <c:v>3821.29</c:v>
                </c:pt>
                <c:pt idx="26">
                  <c:v>3843.93</c:v>
                </c:pt>
                <c:pt idx="27">
                  <c:v>2111.48</c:v>
                </c:pt>
                <c:pt idx="28">
                  <c:v>800.82</c:v>
                </c:pt>
                <c:pt idx="29">
                  <c:v>550.27</c:v>
                </c:pt>
                <c:pt idx="30">
                  <c:v>393.22</c:v>
                </c:pt>
                <c:pt idx="31">
                  <c:v>3434.27</c:v>
                </c:pt>
                <c:pt idx="32">
                  <c:v>1195.24</c:v>
                </c:pt>
                <c:pt idx="33">
                  <c:v>1481.57</c:v>
                </c:pt>
                <c:pt idx="34">
                  <c:v>4946.42</c:v>
                </c:pt>
                <c:pt idx="35">
                  <c:v>2753.28</c:v>
                </c:pt>
                <c:pt idx="36">
                  <c:v>2342.92</c:v>
                </c:pt>
                <c:pt idx="37">
                  <c:v>492.6</c:v>
                </c:pt>
                <c:pt idx="38">
                  <c:v>2934.99</c:v>
                </c:pt>
                <c:pt idx="39">
                  <c:v>3717.31</c:v>
                </c:pt>
                <c:pt idx="40">
                  <c:v>2541.6999999999998</c:v>
                </c:pt>
                <c:pt idx="41">
                  <c:v>282.27999999999997</c:v>
                </c:pt>
                <c:pt idx="42">
                  <c:v>1367.4</c:v>
                </c:pt>
                <c:pt idx="43">
                  <c:v>1501.26</c:v>
                </c:pt>
                <c:pt idx="44">
                  <c:v>1295.06</c:v>
                </c:pt>
                <c:pt idx="45">
                  <c:v>3140.85</c:v>
                </c:pt>
                <c:pt idx="46">
                  <c:v>724.94</c:v>
                </c:pt>
                <c:pt idx="47">
                  <c:v>1870.04</c:v>
                </c:pt>
                <c:pt idx="48">
                  <c:v>855.37</c:v>
                </c:pt>
                <c:pt idx="49">
                  <c:v>748.19</c:v>
                </c:pt>
                <c:pt idx="50">
                  <c:v>4950.92</c:v>
                </c:pt>
                <c:pt idx="51">
                  <c:v>4120.3</c:v>
                </c:pt>
                <c:pt idx="52">
                  <c:v>2669.19</c:v>
                </c:pt>
                <c:pt idx="53">
                  <c:v>2765.24</c:v>
                </c:pt>
                <c:pt idx="54">
                  <c:v>836.96</c:v>
                </c:pt>
                <c:pt idx="55">
                  <c:v>240.68</c:v>
                </c:pt>
                <c:pt idx="56">
                  <c:v>2080.4</c:v>
                </c:pt>
                <c:pt idx="57">
                  <c:v>2954.78</c:v>
                </c:pt>
                <c:pt idx="58">
                  <c:v>2464.4699999999998</c:v>
                </c:pt>
                <c:pt idx="59">
                  <c:v>775.59</c:v>
                </c:pt>
                <c:pt idx="60">
                  <c:v>4311.55</c:v>
                </c:pt>
                <c:pt idx="61">
                  <c:v>1815.49</c:v>
                </c:pt>
                <c:pt idx="62">
                  <c:v>1672.75</c:v>
                </c:pt>
                <c:pt idx="63">
                  <c:v>1864.69</c:v>
                </c:pt>
                <c:pt idx="64">
                  <c:v>379.84</c:v>
                </c:pt>
                <c:pt idx="65">
                  <c:v>2055.52</c:v>
                </c:pt>
                <c:pt idx="66">
                  <c:v>3485.18</c:v>
                </c:pt>
                <c:pt idx="67">
                  <c:v>4154.45</c:v>
                </c:pt>
                <c:pt idx="68">
                  <c:v>3322.59</c:v>
                </c:pt>
                <c:pt idx="69">
                  <c:v>2477.1</c:v>
                </c:pt>
                <c:pt idx="70">
                  <c:v>4684.9799999999996</c:v>
                </c:pt>
                <c:pt idx="71">
                  <c:v>1192.8900000000001</c:v>
                </c:pt>
                <c:pt idx="72">
                  <c:v>4480.42</c:v>
                </c:pt>
                <c:pt idx="73">
                  <c:v>4411.8900000000003</c:v>
                </c:pt>
                <c:pt idx="74">
                  <c:v>3948.44</c:v>
                </c:pt>
                <c:pt idx="75">
                  <c:v>3991.56</c:v>
                </c:pt>
                <c:pt idx="76">
                  <c:v>698.85</c:v>
                </c:pt>
                <c:pt idx="77">
                  <c:v>3004.02</c:v>
                </c:pt>
                <c:pt idx="78">
                  <c:v>2605.39</c:v>
                </c:pt>
                <c:pt idx="79">
                  <c:v>1893.91</c:v>
                </c:pt>
              </c:numCache>
            </c:numRef>
          </c:xVal>
          <c:yVal>
            <c:numRef>
              <c:f>Linear_Regression!$F$7:$F$86</c:f>
              <c:numCache>
                <c:formatCode>General</c:formatCode>
                <c:ptCount val="80"/>
                <c:pt idx="0">
                  <c:v>840.05</c:v>
                </c:pt>
                <c:pt idx="1">
                  <c:v>680.22</c:v>
                </c:pt>
                <c:pt idx="2">
                  <c:v>392.65</c:v>
                </c:pt>
                <c:pt idx="3">
                  <c:v>517.17999999999995</c:v>
                </c:pt>
                <c:pt idx="4">
                  <c:v>756.96</c:v>
                </c:pt>
                <c:pt idx="5">
                  <c:v>627.57000000000005</c:v>
                </c:pt>
                <c:pt idx="6">
                  <c:v>511.47</c:v>
                </c:pt>
                <c:pt idx="7">
                  <c:v>238.81</c:v>
                </c:pt>
                <c:pt idx="8">
                  <c:v>659.24</c:v>
                </c:pt>
                <c:pt idx="9">
                  <c:v>150.16</c:v>
                </c:pt>
                <c:pt idx="10">
                  <c:v>562.79</c:v>
                </c:pt>
                <c:pt idx="11">
                  <c:v>739.37</c:v>
                </c:pt>
                <c:pt idx="12">
                  <c:v>255.77</c:v>
                </c:pt>
                <c:pt idx="13">
                  <c:v>73.86</c:v>
                </c:pt>
                <c:pt idx="14">
                  <c:v>457.81</c:v>
                </c:pt>
                <c:pt idx="15">
                  <c:v>591.79999999999995</c:v>
                </c:pt>
                <c:pt idx="16">
                  <c:v>530.01</c:v>
                </c:pt>
                <c:pt idx="17">
                  <c:v>736.72</c:v>
                </c:pt>
                <c:pt idx="18">
                  <c:v>864.13</c:v>
                </c:pt>
                <c:pt idx="19">
                  <c:v>698.96</c:v>
                </c:pt>
                <c:pt idx="20">
                  <c:v>304.94</c:v>
                </c:pt>
                <c:pt idx="21">
                  <c:v>767.18</c:v>
                </c:pt>
                <c:pt idx="22">
                  <c:v>85.01</c:v>
                </c:pt>
                <c:pt idx="23">
                  <c:v>736.07</c:v>
                </c:pt>
                <c:pt idx="24">
                  <c:v>285.10000000000002</c:v>
                </c:pt>
                <c:pt idx="25">
                  <c:v>707.5</c:v>
                </c:pt>
                <c:pt idx="26">
                  <c:v>711.64</c:v>
                </c:pt>
                <c:pt idx="27">
                  <c:v>394.79</c:v>
                </c:pt>
                <c:pt idx="28">
                  <c:v>155.09</c:v>
                </c:pt>
                <c:pt idx="29">
                  <c:v>109.26</c:v>
                </c:pt>
                <c:pt idx="30">
                  <c:v>80.540000000000006</c:v>
                </c:pt>
                <c:pt idx="31">
                  <c:v>636.72</c:v>
                </c:pt>
                <c:pt idx="32">
                  <c:v>227.22</c:v>
                </c:pt>
                <c:pt idx="33">
                  <c:v>279.58999999999997</c:v>
                </c:pt>
                <c:pt idx="34">
                  <c:v>913.28</c:v>
                </c:pt>
                <c:pt idx="35">
                  <c:v>512.16999999999996</c:v>
                </c:pt>
                <c:pt idx="36">
                  <c:v>437.12</c:v>
                </c:pt>
                <c:pt idx="37">
                  <c:v>98.72</c:v>
                </c:pt>
                <c:pt idx="38">
                  <c:v>545.41</c:v>
                </c:pt>
                <c:pt idx="39">
                  <c:v>688.49</c:v>
                </c:pt>
                <c:pt idx="40">
                  <c:v>473.48</c:v>
                </c:pt>
                <c:pt idx="41">
                  <c:v>60.25</c:v>
                </c:pt>
                <c:pt idx="42">
                  <c:v>258.70999999999998</c:v>
                </c:pt>
                <c:pt idx="43">
                  <c:v>283.19</c:v>
                </c:pt>
                <c:pt idx="44">
                  <c:v>245.48</c:v>
                </c:pt>
                <c:pt idx="45">
                  <c:v>583.05999999999995</c:v>
                </c:pt>
                <c:pt idx="46">
                  <c:v>141.21</c:v>
                </c:pt>
                <c:pt idx="47">
                  <c:v>350.64</c:v>
                </c:pt>
                <c:pt idx="48">
                  <c:v>165.06</c:v>
                </c:pt>
                <c:pt idx="49">
                  <c:v>145.46</c:v>
                </c:pt>
                <c:pt idx="50">
                  <c:v>914.1</c:v>
                </c:pt>
                <c:pt idx="51">
                  <c:v>762.19</c:v>
                </c:pt>
                <c:pt idx="52">
                  <c:v>496.79</c:v>
                </c:pt>
                <c:pt idx="53">
                  <c:v>514.36</c:v>
                </c:pt>
                <c:pt idx="54">
                  <c:v>161.69999999999999</c:v>
                </c:pt>
                <c:pt idx="55">
                  <c:v>52.64</c:v>
                </c:pt>
                <c:pt idx="56">
                  <c:v>389.11</c:v>
                </c:pt>
                <c:pt idx="57">
                  <c:v>549.03</c:v>
                </c:pt>
                <c:pt idx="58">
                  <c:v>459.35</c:v>
                </c:pt>
                <c:pt idx="59">
                  <c:v>150.47</c:v>
                </c:pt>
                <c:pt idx="60">
                  <c:v>797.17</c:v>
                </c:pt>
                <c:pt idx="61">
                  <c:v>340.66</c:v>
                </c:pt>
                <c:pt idx="62">
                  <c:v>314.56</c:v>
                </c:pt>
                <c:pt idx="63">
                  <c:v>349.66</c:v>
                </c:pt>
                <c:pt idx="64">
                  <c:v>78.09</c:v>
                </c:pt>
                <c:pt idx="65">
                  <c:v>384.56</c:v>
                </c:pt>
                <c:pt idx="66">
                  <c:v>646.03</c:v>
                </c:pt>
                <c:pt idx="67">
                  <c:v>768.43</c:v>
                </c:pt>
                <c:pt idx="68">
                  <c:v>616.29</c:v>
                </c:pt>
                <c:pt idx="69">
                  <c:v>461.66</c:v>
                </c:pt>
                <c:pt idx="70">
                  <c:v>865.46</c:v>
                </c:pt>
                <c:pt idx="71">
                  <c:v>226.79</c:v>
                </c:pt>
                <c:pt idx="72">
                  <c:v>828.05</c:v>
                </c:pt>
                <c:pt idx="73">
                  <c:v>815.52</c:v>
                </c:pt>
                <c:pt idx="74">
                  <c:v>730.76</c:v>
                </c:pt>
                <c:pt idx="75">
                  <c:v>738.64</c:v>
                </c:pt>
                <c:pt idx="76">
                  <c:v>136.44</c:v>
                </c:pt>
                <c:pt idx="77">
                  <c:v>558.03</c:v>
                </c:pt>
                <c:pt idx="78">
                  <c:v>485.13</c:v>
                </c:pt>
                <c:pt idx="79">
                  <c:v>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5D-44B2-AA29-81A170239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59745"/>
        <c:axId val="39063817"/>
      </c:scatterChart>
      <c:valAx>
        <c:axId val="9365974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063817"/>
        <c:crosses val="autoZero"/>
        <c:crossBetween val="midCat"/>
      </c:valAx>
      <c:valAx>
        <c:axId val="390638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65974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— Key Statistics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Descriptive_Statistics!$H$3</c:f>
              <c:strCache>
                <c:ptCount val="1"/>
                <c:pt idx="0">
                  <c:v>Sales Value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Descriptive_Statistics!$G$4:$G$9</c:f>
              <c:strCache>
                <c:ptCount val="6"/>
                <c:pt idx="0">
                  <c:v>Mean</c:v>
                </c:pt>
                <c:pt idx="1">
                  <c:v>Median</c:v>
                </c:pt>
                <c:pt idx="2">
                  <c:v>Mode</c:v>
                </c:pt>
                <c:pt idx="3">
                  <c:v>Min</c:v>
                </c:pt>
                <c:pt idx="4">
                  <c:v>Max</c:v>
                </c:pt>
                <c:pt idx="5">
                  <c:v>Std Dev</c:v>
                </c:pt>
              </c:strCache>
            </c:strRef>
          </c:cat>
          <c:val>
            <c:numRef>
              <c:f>Descriptive_Statistics!$H$4:$H$9</c:f>
              <c:numCache>
                <c:formatCode>\$#,##0.00</c:formatCode>
                <c:ptCount val="6"/>
                <c:pt idx="0">
                  <c:v>2672.0173599999994</c:v>
                </c:pt>
                <c:pt idx="1">
                  <c:v>2653.0050000000001</c:v>
                </c:pt>
                <c:pt idx="2">
                  <c:v>3322.59</c:v>
                </c:pt>
                <c:pt idx="3">
                  <c:v>211.87</c:v>
                </c:pt>
                <c:pt idx="4">
                  <c:v>4999.5600000000004</c:v>
                </c:pt>
                <c:pt idx="5">
                  <c:v>1348.4608429159503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9-49A5-ABB4-D401A7D0E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51331"/>
        <c:axId val="48856910"/>
      </c:barChart>
      <c:catAx>
        <c:axId val="487513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Statistic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856910"/>
        <c:crosses val="autoZero"/>
        <c:auto val="1"/>
        <c:lblAlgn val="ctr"/>
        <c:lblOffset val="100"/>
        <c:noMultiLvlLbl val="0"/>
      </c:catAx>
      <c:valAx>
        <c:axId val="488569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7513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Monthly_Growth!$B$2</c:f>
              <c:strCache>
                <c:ptCount val="1"/>
                <c:pt idx="0">
                  <c:v>2022</c:v>
                </c:pt>
              </c:strCache>
            </c:strRef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Monthly_Growth!$A$3:$A$14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Monthly_Growth!$B$3:$B$14</c:f>
              <c:numCache>
                <c:formatCode>\$#,##0.00</c:formatCode>
                <c:ptCount val="12"/>
                <c:pt idx="0">
                  <c:v>47340.49</c:v>
                </c:pt>
                <c:pt idx="1">
                  <c:v>31167.52</c:v>
                </c:pt>
                <c:pt idx="2">
                  <c:v>34374.06</c:v>
                </c:pt>
                <c:pt idx="3">
                  <c:v>53416.03</c:v>
                </c:pt>
                <c:pt idx="4">
                  <c:v>42433.14</c:v>
                </c:pt>
                <c:pt idx="5">
                  <c:v>17131.099999999999</c:v>
                </c:pt>
                <c:pt idx="6">
                  <c:v>33788.67</c:v>
                </c:pt>
                <c:pt idx="7">
                  <c:v>41873.910000000003</c:v>
                </c:pt>
                <c:pt idx="8">
                  <c:v>33346.89</c:v>
                </c:pt>
                <c:pt idx="9">
                  <c:v>32266.13</c:v>
                </c:pt>
                <c:pt idx="10">
                  <c:v>50462.85</c:v>
                </c:pt>
                <c:pt idx="11">
                  <c:v>36713.99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D1-4FF3-89D0-EA924BDFDAAF}"/>
            </c:ext>
          </c:extLst>
        </c:ser>
        <c:ser>
          <c:idx val="1"/>
          <c:order val="1"/>
          <c:tx>
            <c:strRef>
              <c:f>Monthly_Growth!$C$2</c:f>
              <c:strCache>
                <c:ptCount val="1"/>
                <c:pt idx="0">
                  <c:v>2023</c:v>
                </c:pt>
              </c:strCache>
            </c:strRef>
          </c:tx>
          <c:spPr>
            <a:ln w="4752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Monthly_Growth!$A$3:$A$14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Monthly_Growth!$C$3:$C$14</c:f>
              <c:numCache>
                <c:formatCode>\$#,##0.00</c:formatCode>
                <c:ptCount val="12"/>
                <c:pt idx="0">
                  <c:v>48891.14</c:v>
                </c:pt>
                <c:pt idx="1">
                  <c:v>33621.040000000001</c:v>
                </c:pt>
                <c:pt idx="2">
                  <c:v>27576.1</c:v>
                </c:pt>
                <c:pt idx="3">
                  <c:v>43465.7</c:v>
                </c:pt>
                <c:pt idx="4">
                  <c:v>34882.81</c:v>
                </c:pt>
                <c:pt idx="5">
                  <c:v>26596.2</c:v>
                </c:pt>
                <c:pt idx="6">
                  <c:v>44800.7</c:v>
                </c:pt>
                <c:pt idx="7">
                  <c:v>41788.120000000003</c:v>
                </c:pt>
                <c:pt idx="8">
                  <c:v>32785.199999999997</c:v>
                </c:pt>
                <c:pt idx="9">
                  <c:v>39533.800000000003</c:v>
                </c:pt>
                <c:pt idx="10">
                  <c:v>36724.089999999997</c:v>
                </c:pt>
                <c:pt idx="11">
                  <c:v>31185.89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D1-4FF3-89D0-EA924BDFDAAF}"/>
            </c:ext>
          </c:extLst>
        </c:ser>
        <c:ser>
          <c:idx val="2"/>
          <c:order val="2"/>
          <c:tx>
            <c:strRef>
              <c:f>Monthly_Growth!$D$2</c:f>
              <c:strCache>
                <c:ptCount val="1"/>
                <c:pt idx="0">
                  <c:v>2024</c:v>
                </c:pt>
              </c:strCache>
            </c:strRef>
          </c:tx>
          <c:spPr>
            <a:ln w="4752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Monthly_Growth!$A$3:$A$14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Monthly_Growth!$D$3:$D$14</c:f>
              <c:numCache>
                <c:formatCode>\$#,##0.00</c:formatCode>
                <c:ptCount val="12"/>
                <c:pt idx="0">
                  <c:v>32475.93</c:v>
                </c:pt>
                <c:pt idx="1">
                  <c:v>39210.959999999999</c:v>
                </c:pt>
                <c:pt idx="2">
                  <c:v>17192.900000000001</c:v>
                </c:pt>
                <c:pt idx="3">
                  <c:v>25419.33</c:v>
                </c:pt>
                <c:pt idx="4">
                  <c:v>41888.120000000003</c:v>
                </c:pt>
                <c:pt idx="5">
                  <c:v>31294.240000000002</c:v>
                </c:pt>
                <c:pt idx="6">
                  <c:v>37698</c:v>
                </c:pt>
                <c:pt idx="7">
                  <c:v>39044.86</c:v>
                </c:pt>
                <c:pt idx="8">
                  <c:v>55217.89</c:v>
                </c:pt>
                <c:pt idx="9">
                  <c:v>36740.53</c:v>
                </c:pt>
                <c:pt idx="10">
                  <c:v>34861.589999999997</c:v>
                </c:pt>
                <c:pt idx="11">
                  <c:v>48798.76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FD1-4FF3-89D0-EA924BDFD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814294"/>
        <c:axId val="96681140"/>
      </c:lineChart>
      <c:catAx>
        <c:axId val="618142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681140"/>
        <c:crosses val="autoZero"/>
        <c:auto val="1"/>
        <c:lblAlgn val="ctr"/>
        <c:lblOffset val="100"/>
        <c:noMultiLvlLbl val="0"/>
      </c:catAx>
      <c:valAx>
        <c:axId val="966811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8142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Charts!$B$4:$B$8</c:f>
              <c:numCache>
                <c:formatCode>\$#,##0</c:formatCode>
                <c:ptCount val="5"/>
                <c:pt idx="0">
                  <c:v>288582.65999999997</c:v>
                </c:pt>
                <c:pt idx="1">
                  <c:v>239189.06</c:v>
                </c:pt>
                <c:pt idx="2">
                  <c:v>270403.73</c:v>
                </c:pt>
                <c:pt idx="3">
                  <c:v>263318.88</c:v>
                </c:pt>
                <c:pt idx="4">
                  <c:v>274514.34999999998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8-47E4-B318-78A403C80543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Charts!$C$4:$C$8</c:f>
              <c:numCache>
                <c:formatCode>\$#,##0</c:formatCode>
                <c:ptCount val="5"/>
                <c:pt idx="0">
                  <c:v>53144.38</c:v>
                </c:pt>
                <c:pt idx="1">
                  <c:v>44053.58</c:v>
                </c:pt>
                <c:pt idx="2">
                  <c:v>46179.51</c:v>
                </c:pt>
                <c:pt idx="3">
                  <c:v>51518.26</c:v>
                </c:pt>
                <c:pt idx="4">
                  <c:v>53760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C8-47E4-B318-78A403C80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92783"/>
        <c:axId val="87678851"/>
      </c:barChart>
      <c:catAx>
        <c:axId val="61927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678851"/>
        <c:crosses val="autoZero"/>
        <c:auto val="1"/>
        <c:lblAlgn val="ctr"/>
        <c:lblOffset val="100"/>
        <c:noMultiLvlLbl val="0"/>
      </c:catAx>
      <c:valAx>
        <c:axId val="87678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927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Distribution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592-4C30-9FF5-9B6C41DD8B7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592-4C30-9FF5-9B6C41DD8B7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592-4C30-9FF5-9B6C41DD8B7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1592-4C30-9FF5-9B6C41DD8B70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1592-4C30-9FF5-9B6C41DD8B7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592-4C30-9FF5-9B6C41DD8B7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592-4C30-9FF5-9B6C41DD8B7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592-4C30-9FF5-9B6C41DD8B7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1592-4C30-9FF5-9B6C41DD8B7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1592-4C30-9FF5-9B6C41DD8B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Charts!$A$12:$A$16</c:f>
              <c:strCache>
                <c:ptCount val="5"/>
                <c:pt idx="0">
                  <c:v>Accessories</c:v>
                </c:pt>
                <c:pt idx="1">
                  <c:v>Audio</c:v>
                </c:pt>
                <c:pt idx="2">
                  <c:v>Office</c:v>
                </c:pt>
                <c:pt idx="3">
                  <c:v>Electronics</c:v>
                </c:pt>
                <c:pt idx="4">
                  <c:v>Networking</c:v>
                </c:pt>
              </c:strCache>
            </c:strRef>
          </c:cat>
          <c:val>
            <c:numRef>
              <c:f>Charts!$B$12:$B$16</c:f>
              <c:numCache>
                <c:formatCode>\$#,##0</c:formatCode>
                <c:ptCount val="5"/>
                <c:pt idx="0">
                  <c:v>387483.69</c:v>
                </c:pt>
                <c:pt idx="1">
                  <c:v>305162.92</c:v>
                </c:pt>
                <c:pt idx="2">
                  <c:v>111603.75</c:v>
                </c:pt>
                <c:pt idx="3">
                  <c:v>398012.49</c:v>
                </c:pt>
                <c:pt idx="4">
                  <c:v>133745.82999999999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92-4C30-9FF5-9B6C41DD8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 (3 Years)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Charts!$B$20</c:f>
              <c:strCache>
                <c:ptCount val="1"/>
                <c:pt idx="0">
                  <c:v>2022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Charts!$B$21:$B$32</c:f>
              <c:numCache>
                <c:formatCode>General</c:formatCode>
                <c:ptCount val="12"/>
                <c:pt idx="0">
                  <c:v>47340.49</c:v>
                </c:pt>
                <c:pt idx="1">
                  <c:v>31167.52</c:v>
                </c:pt>
                <c:pt idx="2">
                  <c:v>34374.06</c:v>
                </c:pt>
                <c:pt idx="3">
                  <c:v>53416.03</c:v>
                </c:pt>
                <c:pt idx="4">
                  <c:v>42433.14</c:v>
                </c:pt>
                <c:pt idx="5">
                  <c:v>17131.099999999999</c:v>
                </c:pt>
                <c:pt idx="6">
                  <c:v>33788.67</c:v>
                </c:pt>
                <c:pt idx="7">
                  <c:v>41873.910000000003</c:v>
                </c:pt>
                <c:pt idx="8">
                  <c:v>33346.89</c:v>
                </c:pt>
                <c:pt idx="9">
                  <c:v>32266.13</c:v>
                </c:pt>
                <c:pt idx="10">
                  <c:v>50462.85</c:v>
                </c:pt>
                <c:pt idx="11">
                  <c:v>36713.99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EC-492C-A750-00D4441AC247}"/>
            </c:ext>
          </c:extLst>
        </c:ser>
        <c:ser>
          <c:idx val="1"/>
          <c:order val="1"/>
          <c:tx>
            <c:strRef>
              <c:f>Charts!$C$20</c:f>
              <c:strCache>
                <c:ptCount val="1"/>
                <c:pt idx="0">
                  <c:v>2023</c:v>
                </c:pt>
              </c:strCache>
            </c:strRef>
          </c:tx>
          <c:spPr>
            <a:ln w="20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Charts!$C$21:$C$32</c:f>
              <c:numCache>
                <c:formatCode>General</c:formatCode>
                <c:ptCount val="12"/>
                <c:pt idx="0">
                  <c:v>48891.14</c:v>
                </c:pt>
                <c:pt idx="1">
                  <c:v>33621.040000000001</c:v>
                </c:pt>
                <c:pt idx="2">
                  <c:v>27576.1</c:v>
                </c:pt>
                <c:pt idx="3">
                  <c:v>43465.7</c:v>
                </c:pt>
                <c:pt idx="4">
                  <c:v>34882.81</c:v>
                </c:pt>
                <c:pt idx="5">
                  <c:v>26596.2</c:v>
                </c:pt>
                <c:pt idx="6">
                  <c:v>44800.7</c:v>
                </c:pt>
                <c:pt idx="7">
                  <c:v>41788.120000000003</c:v>
                </c:pt>
                <c:pt idx="8">
                  <c:v>32785.199999999997</c:v>
                </c:pt>
                <c:pt idx="9">
                  <c:v>39533.800000000003</c:v>
                </c:pt>
                <c:pt idx="10">
                  <c:v>36724.089999999997</c:v>
                </c:pt>
                <c:pt idx="11">
                  <c:v>31185.89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EC-492C-A750-00D4441AC247}"/>
            </c:ext>
          </c:extLst>
        </c:ser>
        <c:ser>
          <c:idx val="2"/>
          <c:order val="2"/>
          <c:tx>
            <c:strRef>
              <c:f>Charts!$D$20</c:f>
              <c:strCache>
                <c:ptCount val="1"/>
                <c:pt idx="0">
                  <c:v>2024</c:v>
                </c:pt>
              </c:strCache>
            </c:strRef>
          </c:tx>
          <c:spPr>
            <a:ln w="201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Charts!$D$21:$D$32</c:f>
              <c:numCache>
                <c:formatCode>General</c:formatCode>
                <c:ptCount val="12"/>
                <c:pt idx="0">
                  <c:v>32475.93</c:v>
                </c:pt>
                <c:pt idx="1">
                  <c:v>39210.959999999999</c:v>
                </c:pt>
                <c:pt idx="2">
                  <c:v>17192.900000000001</c:v>
                </c:pt>
                <c:pt idx="3">
                  <c:v>25419.33</c:v>
                </c:pt>
                <c:pt idx="4">
                  <c:v>41888.120000000003</c:v>
                </c:pt>
                <c:pt idx="5">
                  <c:v>31294.240000000002</c:v>
                </c:pt>
                <c:pt idx="6">
                  <c:v>37698</c:v>
                </c:pt>
                <c:pt idx="7">
                  <c:v>39044.86</c:v>
                </c:pt>
                <c:pt idx="8">
                  <c:v>55217.89</c:v>
                </c:pt>
                <c:pt idx="9">
                  <c:v>36740.53</c:v>
                </c:pt>
                <c:pt idx="10">
                  <c:v>34861.589999999997</c:v>
                </c:pt>
                <c:pt idx="11">
                  <c:v>48798.76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3EC-492C-A750-00D4441AC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372896"/>
        <c:axId val="79791358"/>
      </c:lineChart>
      <c:catAx>
        <c:axId val="583728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791358"/>
        <c:crosses val="autoZero"/>
        <c:auto val="1"/>
        <c:lblAlgn val="ctr"/>
        <c:lblOffset val="100"/>
        <c:noMultiLvlLbl val="0"/>
      </c:catAx>
      <c:valAx>
        <c:axId val="79791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3728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Quarterly Sales &amp; Profit (Area)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Charts!$B$34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BDD7EE"/>
            </a:solidFill>
            <a:ln w="9360">
              <a:solidFill>
                <a:srgbClr val="F9F9F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Charts!$A$35:$A$38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Charts!$B$35:$B$38</c:f>
              <c:numCache>
                <c:formatCode>General</c:formatCode>
                <c:ptCount val="4"/>
                <c:pt idx="0">
                  <c:v>311850.14</c:v>
                </c:pt>
                <c:pt idx="1">
                  <c:v>316526.67</c:v>
                </c:pt>
                <c:pt idx="2">
                  <c:v>360344.24</c:v>
                </c:pt>
                <c:pt idx="3">
                  <c:v>347287.63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3-4AD6-BADB-3E8A357D6FA3}"/>
            </c:ext>
          </c:extLst>
        </c:ser>
        <c:ser>
          <c:idx val="1"/>
          <c:order val="1"/>
          <c:tx>
            <c:strRef>
              <c:f>Charts!$C$34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6EFCE"/>
            </a:solidFill>
            <a:ln w="9360">
              <a:solidFill>
                <a:srgbClr val="F9F9F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Charts!$A$35:$A$38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Charts!$C$35:$C$38</c:f>
              <c:numCache>
                <c:formatCode>General</c:formatCode>
                <c:ptCount val="4"/>
                <c:pt idx="0">
                  <c:v>60701.74</c:v>
                </c:pt>
                <c:pt idx="1">
                  <c:v>58980.74</c:v>
                </c:pt>
                <c:pt idx="2">
                  <c:v>67154.8</c:v>
                </c:pt>
                <c:pt idx="3">
                  <c:v>61818.45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53-4AD6-BADB-3E8A357D6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15411"/>
        <c:axId val="22273517"/>
      </c:areaChart>
      <c:catAx>
        <c:axId val="238154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273517"/>
        <c:crosses val="autoZero"/>
        <c:auto val="1"/>
        <c:lblAlgn val="ctr"/>
        <c:lblOffset val="100"/>
        <c:noMultiLvlLbl val="0"/>
      </c:catAx>
      <c:valAx>
        <c:axId val="22273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81541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Quantity vs Profit Scatter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Qty vs Profit</c:v>
          </c:tx>
          <c:spPr>
            <a:ln w="47520">
              <a:noFill/>
            </a:ln>
          </c:spPr>
          <c:marker>
            <c:symbol val="diamond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Charts!$A$43:$A$142</c:f>
              <c:numCache>
                <c:formatCode>General</c:formatCode>
                <c:ptCount val="100"/>
                <c:pt idx="0">
                  <c:v>8</c:v>
                </c:pt>
                <c:pt idx="1">
                  <c:v>18</c:v>
                </c:pt>
                <c:pt idx="2">
                  <c:v>14</c:v>
                </c:pt>
                <c:pt idx="3">
                  <c:v>6</c:v>
                </c:pt>
                <c:pt idx="4">
                  <c:v>17</c:v>
                </c:pt>
                <c:pt idx="5">
                  <c:v>9</c:v>
                </c:pt>
                <c:pt idx="6">
                  <c:v>12</c:v>
                </c:pt>
                <c:pt idx="7">
                  <c:v>5</c:v>
                </c:pt>
                <c:pt idx="8">
                  <c:v>11</c:v>
                </c:pt>
                <c:pt idx="9">
                  <c:v>9</c:v>
                </c:pt>
                <c:pt idx="10">
                  <c:v>11</c:v>
                </c:pt>
                <c:pt idx="11">
                  <c:v>17</c:v>
                </c:pt>
                <c:pt idx="12">
                  <c:v>6</c:v>
                </c:pt>
                <c:pt idx="13">
                  <c:v>17</c:v>
                </c:pt>
                <c:pt idx="14">
                  <c:v>11</c:v>
                </c:pt>
                <c:pt idx="15">
                  <c:v>3</c:v>
                </c:pt>
                <c:pt idx="16">
                  <c:v>17</c:v>
                </c:pt>
                <c:pt idx="17">
                  <c:v>9</c:v>
                </c:pt>
                <c:pt idx="18">
                  <c:v>9</c:v>
                </c:pt>
                <c:pt idx="19">
                  <c:v>14</c:v>
                </c:pt>
                <c:pt idx="20">
                  <c:v>20</c:v>
                </c:pt>
                <c:pt idx="21">
                  <c:v>4</c:v>
                </c:pt>
                <c:pt idx="22">
                  <c:v>10</c:v>
                </c:pt>
                <c:pt idx="23">
                  <c:v>13</c:v>
                </c:pt>
                <c:pt idx="24">
                  <c:v>18</c:v>
                </c:pt>
                <c:pt idx="25">
                  <c:v>18</c:v>
                </c:pt>
                <c:pt idx="26">
                  <c:v>6</c:v>
                </c:pt>
                <c:pt idx="27">
                  <c:v>16</c:v>
                </c:pt>
                <c:pt idx="28">
                  <c:v>7</c:v>
                </c:pt>
                <c:pt idx="29">
                  <c:v>2</c:v>
                </c:pt>
                <c:pt idx="30">
                  <c:v>7</c:v>
                </c:pt>
                <c:pt idx="31">
                  <c:v>15</c:v>
                </c:pt>
                <c:pt idx="32">
                  <c:v>15</c:v>
                </c:pt>
                <c:pt idx="33">
                  <c:v>18</c:v>
                </c:pt>
                <c:pt idx="34">
                  <c:v>2</c:v>
                </c:pt>
                <c:pt idx="35">
                  <c:v>11</c:v>
                </c:pt>
                <c:pt idx="36">
                  <c:v>1</c:v>
                </c:pt>
                <c:pt idx="37">
                  <c:v>7</c:v>
                </c:pt>
                <c:pt idx="38">
                  <c:v>7</c:v>
                </c:pt>
                <c:pt idx="39">
                  <c:v>13</c:v>
                </c:pt>
                <c:pt idx="40">
                  <c:v>18</c:v>
                </c:pt>
                <c:pt idx="41">
                  <c:v>19</c:v>
                </c:pt>
                <c:pt idx="42">
                  <c:v>4</c:v>
                </c:pt>
                <c:pt idx="43">
                  <c:v>9</c:v>
                </c:pt>
                <c:pt idx="44">
                  <c:v>10</c:v>
                </c:pt>
                <c:pt idx="45">
                  <c:v>20</c:v>
                </c:pt>
                <c:pt idx="46">
                  <c:v>8</c:v>
                </c:pt>
                <c:pt idx="47">
                  <c:v>13</c:v>
                </c:pt>
                <c:pt idx="48">
                  <c:v>18</c:v>
                </c:pt>
                <c:pt idx="49">
                  <c:v>16</c:v>
                </c:pt>
                <c:pt idx="50">
                  <c:v>8</c:v>
                </c:pt>
                <c:pt idx="51">
                  <c:v>4</c:v>
                </c:pt>
                <c:pt idx="52">
                  <c:v>3</c:v>
                </c:pt>
                <c:pt idx="53">
                  <c:v>19</c:v>
                </c:pt>
                <c:pt idx="54">
                  <c:v>18</c:v>
                </c:pt>
                <c:pt idx="55">
                  <c:v>2</c:v>
                </c:pt>
                <c:pt idx="56">
                  <c:v>18</c:v>
                </c:pt>
                <c:pt idx="57">
                  <c:v>1</c:v>
                </c:pt>
                <c:pt idx="58">
                  <c:v>20</c:v>
                </c:pt>
                <c:pt idx="59">
                  <c:v>3</c:v>
                </c:pt>
                <c:pt idx="60">
                  <c:v>10</c:v>
                </c:pt>
                <c:pt idx="61">
                  <c:v>14</c:v>
                </c:pt>
                <c:pt idx="62">
                  <c:v>19</c:v>
                </c:pt>
                <c:pt idx="63">
                  <c:v>11</c:v>
                </c:pt>
                <c:pt idx="64">
                  <c:v>4</c:v>
                </c:pt>
                <c:pt idx="65">
                  <c:v>15</c:v>
                </c:pt>
                <c:pt idx="66">
                  <c:v>17</c:v>
                </c:pt>
                <c:pt idx="67">
                  <c:v>9</c:v>
                </c:pt>
                <c:pt idx="68">
                  <c:v>2</c:v>
                </c:pt>
                <c:pt idx="69">
                  <c:v>13</c:v>
                </c:pt>
                <c:pt idx="70">
                  <c:v>13</c:v>
                </c:pt>
                <c:pt idx="71">
                  <c:v>14</c:v>
                </c:pt>
                <c:pt idx="72">
                  <c:v>12</c:v>
                </c:pt>
                <c:pt idx="73">
                  <c:v>5</c:v>
                </c:pt>
                <c:pt idx="74">
                  <c:v>5</c:v>
                </c:pt>
                <c:pt idx="75">
                  <c:v>16</c:v>
                </c:pt>
                <c:pt idx="76">
                  <c:v>3</c:v>
                </c:pt>
                <c:pt idx="77">
                  <c:v>5</c:v>
                </c:pt>
                <c:pt idx="78">
                  <c:v>5</c:v>
                </c:pt>
                <c:pt idx="79">
                  <c:v>17</c:v>
                </c:pt>
                <c:pt idx="80">
                  <c:v>1</c:v>
                </c:pt>
                <c:pt idx="81">
                  <c:v>10</c:v>
                </c:pt>
                <c:pt idx="82">
                  <c:v>7</c:v>
                </c:pt>
                <c:pt idx="83">
                  <c:v>19</c:v>
                </c:pt>
                <c:pt idx="84">
                  <c:v>17</c:v>
                </c:pt>
                <c:pt idx="85">
                  <c:v>15</c:v>
                </c:pt>
                <c:pt idx="86">
                  <c:v>20</c:v>
                </c:pt>
                <c:pt idx="87">
                  <c:v>5</c:v>
                </c:pt>
                <c:pt idx="88">
                  <c:v>9</c:v>
                </c:pt>
                <c:pt idx="89">
                  <c:v>20</c:v>
                </c:pt>
                <c:pt idx="90">
                  <c:v>8</c:v>
                </c:pt>
                <c:pt idx="91">
                  <c:v>17</c:v>
                </c:pt>
                <c:pt idx="92">
                  <c:v>16</c:v>
                </c:pt>
                <c:pt idx="93">
                  <c:v>7</c:v>
                </c:pt>
                <c:pt idx="94">
                  <c:v>5</c:v>
                </c:pt>
                <c:pt idx="95">
                  <c:v>11</c:v>
                </c:pt>
                <c:pt idx="96">
                  <c:v>16</c:v>
                </c:pt>
                <c:pt idx="97">
                  <c:v>3</c:v>
                </c:pt>
                <c:pt idx="98">
                  <c:v>18</c:v>
                </c:pt>
                <c:pt idx="99">
                  <c:v>7</c:v>
                </c:pt>
              </c:numCache>
            </c:numRef>
          </c:xVal>
          <c:yVal>
            <c:numRef>
              <c:f>Charts!$B$43:$B$142</c:f>
              <c:numCache>
                <c:formatCode>General</c:formatCode>
                <c:ptCount val="100"/>
                <c:pt idx="0">
                  <c:v>940.62</c:v>
                </c:pt>
                <c:pt idx="1">
                  <c:v>803.56</c:v>
                </c:pt>
                <c:pt idx="2">
                  <c:v>259.29000000000002</c:v>
                </c:pt>
                <c:pt idx="3">
                  <c:v>118.2</c:v>
                </c:pt>
                <c:pt idx="4">
                  <c:v>440.99</c:v>
                </c:pt>
                <c:pt idx="5">
                  <c:v>666.01</c:v>
                </c:pt>
                <c:pt idx="6">
                  <c:v>971.3</c:v>
                </c:pt>
                <c:pt idx="7">
                  <c:v>408.82</c:v>
                </c:pt>
                <c:pt idx="8">
                  <c:v>535.25</c:v>
                </c:pt>
                <c:pt idx="9">
                  <c:v>611.72</c:v>
                </c:pt>
                <c:pt idx="10">
                  <c:v>789.67</c:v>
                </c:pt>
                <c:pt idx="11">
                  <c:v>188.84</c:v>
                </c:pt>
                <c:pt idx="12">
                  <c:v>221.8</c:v>
                </c:pt>
                <c:pt idx="13">
                  <c:v>529.45000000000005</c:v>
                </c:pt>
                <c:pt idx="14">
                  <c:v>751.41</c:v>
                </c:pt>
                <c:pt idx="15">
                  <c:v>366.13</c:v>
                </c:pt>
                <c:pt idx="16">
                  <c:v>305.97000000000003</c:v>
                </c:pt>
                <c:pt idx="17">
                  <c:v>386.65</c:v>
                </c:pt>
                <c:pt idx="18">
                  <c:v>390.2</c:v>
                </c:pt>
                <c:pt idx="19">
                  <c:v>311.89</c:v>
                </c:pt>
                <c:pt idx="20">
                  <c:v>420.25</c:v>
                </c:pt>
                <c:pt idx="21">
                  <c:v>505.96</c:v>
                </c:pt>
                <c:pt idx="22">
                  <c:v>381.14</c:v>
                </c:pt>
                <c:pt idx="23">
                  <c:v>788.73</c:v>
                </c:pt>
                <c:pt idx="24">
                  <c:v>147.22</c:v>
                </c:pt>
                <c:pt idx="25">
                  <c:v>419.38</c:v>
                </c:pt>
                <c:pt idx="26">
                  <c:v>909.11</c:v>
                </c:pt>
                <c:pt idx="27">
                  <c:v>356.92</c:v>
                </c:pt>
                <c:pt idx="28">
                  <c:v>366.37</c:v>
                </c:pt>
                <c:pt idx="29">
                  <c:v>1035.8399999999999</c:v>
                </c:pt>
                <c:pt idx="30">
                  <c:v>592.34</c:v>
                </c:pt>
                <c:pt idx="31">
                  <c:v>350.48</c:v>
                </c:pt>
                <c:pt idx="32">
                  <c:v>255.06</c:v>
                </c:pt>
                <c:pt idx="33">
                  <c:v>194.66</c:v>
                </c:pt>
                <c:pt idx="34">
                  <c:v>456.68</c:v>
                </c:pt>
                <c:pt idx="35">
                  <c:v>241.37</c:v>
                </c:pt>
                <c:pt idx="36">
                  <c:v>693.79</c:v>
                </c:pt>
                <c:pt idx="37">
                  <c:v>162.99</c:v>
                </c:pt>
                <c:pt idx="38">
                  <c:v>39.130000000000003</c:v>
                </c:pt>
                <c:pt idx="39">
                  <c:v>283.89999999999998</c:v>
                </c:pt>
                <c:pt idx="40">
                  <c:v>759.09</c:v>
                </c:pt>
                <c:pt idx="41">
                  <c:v>422.44</c:v>
                </c:pt>
                <c:pt idx="42">
                  <c:v>566.30999999999995</c:v>
                </c:pt>
                <c:pt idx="43">
                  <c:v>103.54</c:v>
                </c:pt>
                <c:pt idx="44">
                  <c:v>557.5</c:v>
                </c:pt>
                <c:pt idx="45">
                  <c:v>64.81</c:v>
                </c:pt>
                <c:pt idx="46">
                  <c:v>406.88</c:v>
                </c:pt>
                <c:pt idx="47">
                  <c:v>669.96</c:v>
                </c:pt>
                <c:pt idx="48">
                  <c:v>169.28</c:v>
                </c:pt>
                <c:pt idx="49">
                  <c:v>526.9</c:v>
                </c:pt>
                <c:pt idx="50">
                  <c:v>1335.74</c:v>
                </c:pt>
                <c:pt idx="51">
                  <c:v>1044.78</c:v>
                </c:pt>
                <c:pt idx="52">
                  <c:v>282.94</c:v>
                </c:pt>
                <c:pt idx="53">
                  <c:v>460.65</c:v>
                </c:pt>
                <c:pt idx="54">
                  <c:v>832.12</c:v>
                </c:pt>
                <c:pt idx="55">
                  <c:v>1216.3699999999999</c:v>
                </c:pt>
                <c:pt idx="56">
                  <c:v>285.27</c:v>
                </c:pt>
                <c:pt idx="57">
                  <c:v>849.97</c:v>
                </c:pt>
                <c:pt idx="58">
                  <c:v>188.42</c:v>
                </c:pt>
                <c:pt idx="59">
                  <c:v>175.59</c:v>
                </c:pt>
                <c:pt idx="60">
                  <c:v>200.26</c:v>
                </c:pt>
                <c:pt idx="61">
                  <c:v>714.81</c:v>
                </c:pt>
                <c:pt idx="62">
                  <c:v>74.25</c:v>
                </c:pt>
                <c:pt idx="63">
                  <c:v>755.4</c:v>
                </c:pt>
                <c:pt idx="64">
                  <c:v>1023.96</c:v>
                </c:pt>
                <c:pt idx="65">
                  <c:v>614.42999999999995</c:v>
                </c:pt>
                <c:pt idx="66">
                  <c:v>1032.2</c:v>
                </c:pt>
                <c:pt idx="67">
                  <c:v>799.83</c:v>
                </c:pt>
                <c:pt idx="68">
                  <c:v>798.93</c:v>
                </c:pt>
                <c:pt idx="69">
                  <c:v>401.21</c:v>
                </c:pt>
                <c:pt idx="70">
                  <c:v>495.05</c:v>
                </c:pt>
                <c:pt idx="71">
                  <c:v>280.35000000000002</c:v>
                </c:pt>
                <c:pt idx="72">
                  <c:v>370.25</c:v>
                </c:pt>
                <c:pt idx="73">
                  <c:v>552.05999999999995</c:v>
                </c:pt>
                <c:pt idx="74">
                  <c:v>437.93</c:v>
                </c:pt>
                <c:pt idx="75">
                  <c:v>407.97</c:v>
                </c:pt>
                <c:pt idx="76">
                  <c:v>381.6</c:v>
                </c:pt>
                <c:pt idx="77">
                  <c:v>196.89</c:v>
                </c:pt>
                <c:pt idx="78">
                  <c:v>186.27</c:v>
                </c:pt>
                <c:pt idx="79">
                  <c:v>329.82</c:v>
                </c:pt>
                <c:pt idx="80">
                  <c:v>545.21</c:v>
                </c:pt>
                <c:pt idx="81">
                  <c:v>185.86</c:v>
                </c:pt>
                <c:pt idx="82">
                  <c:v>406.36</c:v>
                </c:pt>
                <c:pt idx="83">
                  <c:v>227.33</c:v>
                </c:pt>
                <c:pt idx="84">
                  <c:v>968.48</c:v>
                </c:pt>
                <c:pt idx="85">
                  <c:v>56.91</c:v>
                </c:pt>
                <c:pt idx="86">
                  <c:v>260.56</c:v>
                </c:pt>
                <c:pt idx="87">
                  <c:v>480.36</c:v>
                </c:pt>
                <c:pt idx="88">
                  <c:v>547.85</c:v>
                </c:pt>
                <c:pt idx="89">
                  <c:v>662.17</c:v>
                </c:pt>
                <c:pt idx="90">
                  <c:v>645.66999999999996</c:v>
                </c:pt>
                <c:pt idx="91">
                  <c:v>604.66</c:v>
                </c:pt>
                <c:pt idx="92">
                  <c:v>709.68</c:v>
                </c:pt>
                <c:pt idx="93">
                  <c:v>579.88</c:v>
                </c:pt>
                <c:pt idx="94">
                  <c:v>354.26</c:v>
                </c:pt>
                <c:pt idx="95">
                  <c:v>1154.26</c:v>
                </c:pt>
                <c:pt idx="96">
                  <c:v>485.76</c:v>
                </c:pt>
                <c:pt idx="97">
                  <c:v>465.99</c:v>
                </c:pt>
                <c:pt idx="98">
                  <c:v>973.47</c:v>
                </c:pt>
                <c:pt idx="99">
                  <c:v>1282.3900000000001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28-4701-A962-09CA29ED5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3345"/>
        <c:axId val="64695892"/>
      </c:scatterChart>
      <c:valAx>
        <c:axId val="372334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695892"/>
        <c:crosses val="autoZero"/>
        <c:crossBetween val="midCat"/>
      </c:valAx>
      <c:valAx>
        <c:axId val="646958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2334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— All Years Combined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Monthly_Growth!$B$2</c:f>
              <c:strCache>
                <c:ptCount val="1"/>
                <c:pt idx="0">
                  <c:v>2022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Monthly_Growth!$A$3:$A$14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Monthly_Growth!$B$3:$B$14</c:f>
              <c:numCache>
                <c:formatCode>\$#,##0.00</c:formatCode>
                <c:ptCount val="12"/>
                <c:pt idx="0">
                  <c:v>47340.49</c:v>
                </c:pt>
                <c:pt idx="1">
                  <c:v>31167.52</c:v>
                </c:pt>
                <c:pt idx="2">
                  <c:v>34374.06</c:v>
                </c:pt>
                <c:pt idx="3">
                  <c:v>53416.03</c:v>
                </c:pt>
                <c:pt idx="4">
                  <c:v>42433.14</c:v>
                </c:pt>
                <c:pt idx="5">
                  <c:v>17131.099999999999</c:v>
                </c:pt>
                <c:pt idx="6">
                  <c:v>33788.67</c:v>
                </c:pt>
                <c:pt idx="7">
                  <c:v>41873.910000000003</c:v>
                </c:pt>
                <c:pt idx="8">
                  <c:v>33346.89</c:v>
                </c:pt>
                <c:pt idx="9">
                  <c:v>32266.13</c:v>
                </c:pt>
                <c:pt idx="10">
                  <c:v>50462.85</c:v>
                </c:pt>
                <c:pt idx="11">
                  <c:v>36713.99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BD-4FA4-BD04-62D85ECDD00F}"/>
            </c:ext>
          </c:extLst>
        </c:ser>
        <c:ser>
          <c:idx val="1"/>
          <c:order val="1"/>
          <c:tx>
            <c:strRef>
              <c:f>Monthly_Growth!$C$2</c:f>
              <c:strCache>
                <c:ptCount val="1"/>
                <c:pt idx="0">
                  <c:v>2023</c:v>
                </c:pt>
              </c:strCache>
            </c:strRef>
          </c:tx>
          <c:spPr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Monthly_Growth!$A$3:$A$14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Monthly_Growth!$C$3:$C$14</c:f>
              <c:numCache>
                <c:formatCode>\$#,##0.00</c:formatCode>
                <c:ptCount val="12"/>
                <c:pt idx="0">
                  <c:v>48891.14</c:v>
                </c:pt>
                <c:pt idx="1">
                  <c:v>33621.040000000001</c:v>
                </c:pt>
                <c:pt idx="2">
                  <c:v>27576.1</c:v>
                </c:pt>
                <c:pt idx="3">
                  <c:v>43465.7</c:v>
                </c:pt>
                <c:pt idx="4">
                  <c:v>34882.81</c:v>
                </c:pt>
                <c:pt idx="5">
                  <c:v>26596.2</c:v>
                </c:pt>
                <c:pt idx="6">
                  <c:v>44800.7</c:v>
                </c:pt>
                <c:pt idx="7">
                  <c:v>41788.120000000003</c:v>
                </c:pt>
                <c:pt idx="8">
                  <c:v>32785.199999999997</c:v>
                </c:pt>
                <c:pt idx="9">
                  <c:v>39533.800000000003</c:v>
                </c:pt>
                <c:pt idx="10">
                  <c:v>36724.089999999997</c:v>
                </c:pt>
                <c:pt idx="11">
                  <c:v>31185.89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8BD-4FA4-BD04-62D85ECDD00F}"/>
            </c:ext>
          </c:extLst>
        </c:ser>
        <c:ser>
          <c:idx val="2"/>
          <c:order val="2"/>
          <c:tx>
            <c:strRef>
              <c:f>Monthly_Growth!$D$2</c:f>
              <c:strCache>
                <c:ptCount val="1"/>
                <c:pt idx="0">
                  <c:v>2024</c:v>
                </c:pt>
              </c:strCache>
            </c:strRef>
          </c:tx>
          <c:spPr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Monthly_Growth!$A$3:$A$14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Monthly_Growth!$D$3:$D$14</c:f>
              <c:numCache>
                <c:formatCode>\$#,##0.00</c:formatCode>
                <c:ptCount val="12"/>
                <c:pt idx="0">
                  <c:v>32475.93</c:v>
                </c:pt>
                <c:pt idx="1">
                  <c:v>39210.959999999999</c:v>
                </c:pt>
                <c:pt idx="2">
                  <c:v>17192.900000000001</c:v>
                </c:pt>
                <c:pt idx="3">
                  <c:v>25419.33</c:v>
                </c:pt>
                <c:pt idx="4">
                  <c:v>41888.120000000003</c:v>
                </c:pt>
                <c:pt idx="5">
                  <c:v>31294.240000000002</c:v>
                </c:pt>
                <c:pt idx="6">
                  <c:v>37698</c:v>
                </c:pt>
                <c:pt idx="7">
                  <c:v>39044.86</c:v>
                </c:pt>
                <c:pt idx="8">
                  <c:v>55217.89</c:v>
                </c:pt>
                <c:pt idx="9">
                  <c:v>36740.53</c:v>
                </c:pt>
                <c:pt idx="10">
                  <c:v>34861.589999999997</c:v>
                </c:pt>
                <c:pt idx="11">
                  <c:v>48798.76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8BD-4FA4-BD04-62D85ECDD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2750213"/>
        <c:axId val="13884543"/>
      </c:lineChart>
      <c:catAx>
        <c:axId val="427502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884543"/>
        <c:crosses val="autoZero"/>
        <c:auto val="1"/>
        <c:lblAlgn val="ctr"/>
        <c:lblOffset val="100"/>
        <c:noMultiLvlLbl val="0"/>
      </c:catAx>
      <c:valAx>
        <c:axId val="138845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7502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37F-4B2E-9314-2EC6E9B4816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37F-4B2E-9314-2EC6E9B4816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537F-4B2E-9314-2EC6E9B4816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537F-4B2E-9314-2EC6E9B4816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537F-4B2E-9314-2EC6E9B4816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37F-4B2E-9314-2EC6E9B4816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37F-4B2E-9314-2EC6E9B4816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37F-4B2E-9314-2EC6E9B4816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537F-4B2E-9314-2EC6E9B4816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537F-4B2E-9314-2EC6E9B481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Charts!$A$12:$A$16</c:f>
              <c:strCache>
                <c:ptCount val="5"/>
                <c:pt idx="0">
                  <c:v>Accessories</c:v>
                </c:pt>
                <c:pt idx="1">
                  <c:v>Audio</c:v>
                </c:pt>
                <c:pt idx="2">
                  <c:v>Office</c:v>
                </c:pt>
                <c:pt idx="3">
                  <c:v>Electronics</c:v>
                </c:pt>
                <c:pt idx="4">
                  <c:v>Networking</c:v>
                </c:pt>
              </c:strCache>
            </c:strRef>
          </c:cat>
          <c:val>
            <c:numRef>
              <c:f>Charts!$B$12:$B$16</c:f>
              <c:numCache>
                <c:formatCode>\$#,##0</c:formatCode>
                <c:ptCount val="5"/>
                <c:pt idx="0">
                  <c:v>387483.69</c:v>
                </c:pt>
                <c:pt idx="1">
                  <c:v>305162.92</c:v>
                </c:pt>
                <c:pt idx="2">
                  <c:v>111603.75</c:v>
                </c:pt>
                <c:pt idx="3">
                  <c:v>398012.49</c:v>
                </c:pt>
                <c:pt idx="4">
                  <c:v>133745.82999999999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37F-4B2E-9314-2EC6E9B48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13</xdr:row>
      <xdr:rowOff>0</xdr:rowOff>
    </xdr:from>
    <xdr:to>
      <xdr:col>11</xdr:col>
      <xdr:colOff>38880</xdr:colOff>
      <xdr:row>35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</xdr:row>
      <xdr:rowOff>0</xdr:rowOff>
    </xdr:from>
    <xdr:to>
      <xdr:col>13</xdr:col>
      <xdr:colOff>164880</xdr:colOff>
      <xdr:row>27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5</xdr:col>
      <xdr:colOff>856080</xdr:colOff>
      <xdr:row>38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13</xdr:col>
      <xdr:colOff>255960</xdr:colOff>
      <xdr:row>22</xdr:row>
      <xdr:rowOff>149760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0</xdr:rowOff>
    </xdr:from>
    <xdr:to>
      <xdr:col>13</xdr:col>
      <xdr:colOff>255960</xdr:colOff>
      <xdr:row>38</xdr:row>
      <xdr:rowOff>149400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2</xdr:row>
      <xdr:rowOff>0</xdr:rowOff>
    </xdr:from>
    <xdr:to>
      <xdr:col>24</xdr:col>
      <xdr:colOff>364680</xdr:colOff>
      <xdr:row>22</xdr:row>
      <xdr:rowOff>149760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34</xdr:row>
      <xdr:rowOff>0</xdr:rowOff>
    </xdr:from>
    <xdr:to>
      <xdr:col>13</xdr:col>
      <xdr:colOff>255960</xdr:colOff>
      <xdr:row>54</xdr:row>
      <xdr:rowOff>149760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0</xdr:colOff>
      <xdr:row>18</xdr:row>
      <xdr:rowOff>0</xdr:rowOff>
    </xdr:from>
    <xdr:to>
      <xdr:col>24</xdr:col>
      <xdr:colOff>364680</xdr:colOff>
      <xdr:row>38</xdr:row>
      <xdr:rowOff>149400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10</xdr:row>
      <xdr:rowOff>0</xdr:rowOff>
    </xdr:from>
    <xdr:to>
      <xdr:col>28</xdr:col>
      <xdr:colOff>307080</xdr:colOff>
      <xdr:row>33</xdr:row>
      <xdr:rowOff>67680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33</xdr:row>
      <xdr:rowOff>0</xdr:rowOff>
    </xdr:from>
    <xdr:to>
      <xdr:col>28</xdr:col>
      <xdr:colOff>307080</xdr:colOff>
      <xdr:row>55</xdr:row>
      <xdr:rowOff>144000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2:L502" totalsRowShown="0">
  <autoFilter ref="A2:L502" xr:uid="{00000000-0009-0000-0100-000001000000}"/>
  <tableColumns count="12">
    <tableColumn id="1" xr3:uid="{00000000-0010-0000-0000-000001000000}" name="Order ID"/>
    <tableColumn id="2" xr3:uid="{00000000-0010-0000-0000-000002000000}" name="Customer Name"/>
    <tableColumn id="3" xr3:uid="{00000000-0010-0000-0000-000003000000}" name="Region"/>
    <tableColumn id="4" xr3:uid="{00000000-0010-0000-0000-000004000000}" name="Product"/>
    <tableColumn id="5" xr3:uid="{00000000-0010-0000-0000-000005000000}" name="Category"/>
    <tableColumn id="6" xr3:uid="{00000000-0010-0000-0000-000006000000}" name="Sales"/>
    <tableColumn id="7" xr3:uid="{00000000-0010-0000-0000-000007000000}" name="Profit"/>
    <tableColumn id="8" xr3:uid="{00000000-0010-0000-0000-000008000000}" name="Discount"/>
    <tableColumn id="9" xr3:uid="{00000000-0010-0000-0000-000009000000}" name="Quantity"/>
    <tableColumn id="10" xr3:uid="{00000000-0010-0000-0000-00000A000000}" name="Order Date"/>
    <tableColumn id="11" xr3:uid="{00000000-0010-0000-0000-00000B000000}" name="Month"/>
    <tableColumn id="12" xr3:uid="{00000000-0010-0000-0000-00000C000000}" name="Yea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L502"/>
  <sheetViews>
    <sheetView tabSelected="1" zoomScaleNormal="100" workbookViewId="0">
      <pane ySplit="1" topLeftCell="A2" activePane="bottomLeft" state="frozen"/>
      <selection pane="bottomLeft" sqref="A1:L1"/>
    </sheetView>
  </sheetViews>
  <sheetFormatPr defaultColWidth="8.6640625" defaultRowHeight="14.4" x14ac:dyDescent="0.3"/>
  <cols>
    <col min="1" max="1" width="12" customWidth="1"/>
    <col min="2" max="2" width="18" customWidth="1"/>
    <col min="3" max="3" width="10" customWidth="1"/>
    <col min="4" max="4" width="12" customWidth="1"/>
    <col min="5" max="5" width="14" customWidth="1"/>
    <col min="6" max="7" width="12" customWidth="1"/>
    <col min="8" max="9" width="10" customWidth="1"/>
    <col min="10" max="10" width="14" customWidth="1"/>
    <col min="11" max="12" width="8" customWidth="1"/>
  </cols>
  <sheetData>
    <row r="1" spans="1:12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1.75" customHeight="1" x14ac:dyDescent="0.3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</row>
    <row r="3" spans="1:12" x14ac:dyDescent="0.3">
      <c r="A3" s="16" t="s">
        <v>13</v>
      </c>
      <c r="B3" s="16" t="s">
        <v>14</v>
      </c>
      <c r="C3" s="16" t="s">
        <v>15</v>
      </c>
      <c r="D3" s="16" t="s">
        <v>16</v>
      </c>
      <c r="E3" s="16" t="s">
        <v>17</v>
      </c>
      <c r="F3" s="17">
        <v>3659.46</v>
      </c>
      <c r="G3" s="17">
        <v>789.67</v>
      </c>
      <c r="H3" s="18">
        <v>0.25</v>
      </c>
      <c r="I3" s="16">
        <v>11</v>
      </c>
      <c r="J3" s="19">
        <v>44695</v>
      </c>
      <c r="K3" s="16">
        <v>5</v>
      </c>
      <c r="L3" s="16">
        <v>2022</v>
      </c>
    </row>
    <row r="4" spans="1:12" x14ac:dyDescent="0.3">
      <c r="A4" s="20" t="s">
        <v>18</v>
      </c>
      <c r="B4" s="20" t="s">
        <v>19</v>
      </c>
      <c r="C4" s="20" t="s">
        <v>20</v>
      </c>
      <c r="D4" s="20" t="s">
        <v>21</v>
      </c>
      <c r="E4" s="20" t="s">
        <v>22</v>
      </c>
      <c r="F4" s="21">
        <v>4778.32</v>
      </c>
      <c r="G4" s="21">
        <v>1393.01</v>
      </c>
      <c r="H4" s="22">
        <v>0.15</v>
      </c>
      <c r="I4" s="20">
        <v>6</v>
      </c>
      <c r="J4" s="23">
        <v>45350</v>
      </c>
      <c r="K4" s="20">
        <v>2</v>
      </c>
      <c r="L4" s="20">
        <v>2024</v>
      </c>
    </row>
    <row r="5" spans="1:12" x14ac:dyDescent="0.3">
      <c r="A5" s="16" t="s">
        <v>23</v>
      </c>
      <c r="B5" s="16" t="s">
        <v>24</v>
      </c>
      <c r="C5" s="16" t="s">
        <v>25</v>
      </c>
      <c r="D5" s="16" t="s">
        <v>26</v>
      </c>
      <c r="E5" s="16" t="s">
        <v>27</v>
      </c>
      <c r="F5" s="17">
        <v>1154.77</v>
      </c>
      <c r="G5" s="17">
        <v>285.27</v>
      </c>
      <c r="H5" s="18">
        <v>0.15</v>
      </c>
      <c r="I5" s="16">
        <v>18</v>
      </c>
      <c r="J5" s="19">
        <v>45311</v>
      </c>
      <c r="K5" s="16">
        <v>1</v>
      </c>
      <c r="L5" s="16">
        <v>2024</v>
      </c>
    </row>
    <row r="6" spans="1:12" x14ac:dyDescent="0.3">
      <c r="A6" s="20" t="s">
        <v>28</v>
      </c>
      <c r="B6" s="20" t="s">
        <v>29</v>
      </c>
      <c r="C6" s="20" t="s">
        <v>20</v>
      </c>
      <c r="D6" s="20" t="s">
        <v>30</v>
      </c>
      <c r="E6" s="20" t="s">
        <v>31</v>
      </c>
      <c r="F6" s="21">
        <v>736.97</v>
      </c>
      <c r="G6" s="21">
        <v>200.26</v>
      </c>
      <c r="H6" s="22">
        <v>0.15</v>
      </c>
      <c r="I6" s="20">
        <v>10</v>
      </c>
      <c r="J6" s="23">
        <v>44569</v>
      </c>
      <c r="K6" s="20">
        <v>1</v>
      </c>
      <c r="L6" s="20">
        <v>2022</v>
      </c>
    </row>
    <row r="7" spans="1:12" x14ac:dyDescent="0.3">
      <c r="A7" s="16" t="s">
        <v>32</v>
      </c>
      <c r="B7" s="16" t="s">
        <v>33</v>
      </c>
      <c r="C7" s="16" t="s">
        <v>15</v>
      </c>
      <c r="D7" s="16" t="s">
        <v>34</v>
      </c>
      <c r="E7" s="16" t="s">
        <v>35</v>
      </c>
      <c r="F7" s="17">
        <v>3713.16</v>
      </c>
      <c r="G7" s="17">
        <v>1215.21</v>
      </c>
      <c r="H7" s="18">
        <v>0.05</v>
      </c>
      <c r="I7" s="16">
        <v>18</v>
      </c>
      <c r="J7" s="19">
        <v>44642</v>
      </c>
      <c r="K7" s="16">
        <v>3</v>
      </c>
      <c r="L7" s="16">
        <v>2022</v>
      </c>
    </row>
    <row r="8" spans="1:12" x14ac:dyDescent="0.3">
      <c r="A8" s="20" t="s">
        <v>36</v>
      </c>
      <c r="B8" s="20" t="s">
        <v>37</v>
      </c>
      <c r="C8" s="20" t="s">
        <v>25</v>
      </c>
      <c r="D8" s="20" t="s">
        <v>38</v>
      </c>
      <c r="E8" s="20" t="s">
        <v>22</v>
      </c>
      <c r="F8" s="21">
        <v>1472.27</v>
      </c>
      <c r="G8" s="21">
        <v>227.23</v>
      </c>
      <c r="H8" s="22">
        <v>0.25</v>
      </c>
      <c r="I8" s="20">
        <v>7</v>
      </c>
      <c r="J8" s="23">
        <v>45649</v>
      </c>
      <c r="K8" s="20">
        <v>12</v>
      </c>
      <c r="L8" s="20">
        <v>2024</v>
      </c>
    </row>
    <row r="9" spans="1:12" x14ac:dyDescent="0.3">
      <c r="A9" s="16" t="s">
        <v>39</v>
      </c>
      <c r="B9" s="16" t="s">
        <v>40</v>
      </c>
      <c r="C9" s="16" t="s">
        <v>41</v>
      </c>
      <c r="D9" s="16" t="s">
        <v>42</v>
      </c>
      <c r="E9" s="16" t="s">
        <v>22</v>
      </c>
      <c r="F9" s="17">
        <v>4976.72</v>
      </c>
      <c r="G9" s="17">
        <v>886.34</v>
      </c>
      <c r="H9" s="18">
        <v>0.15</v>
      </c>
      <c r="I9" s="16">
        <v>17</v>
      </c>
      <c r="J9" s="19">
        <v>44965</v>
      </c>
      <c r="K9" s="16">
        <v>2</v>
      </c>
      <c r="L9" s="16">
        <v>2023</v>
      </c>
    </row>
    <row r="10" spans="1:12" x14ac:dyDescent="0.3">
      <c r="A10" s="20" t="s">
        <v>43</v>
      </c>
      <c r="B10" s="20" t="s">
        <v>44</v>
      </c>
      <c r="C10" s="20" t="s">
        <v>15</v>
      </c>
      <c r="D10" s="20" t="s">
        <v>42</v>
      </c>
      <c r="E10" s="20" t="s">
        <v>22</v>
      </c>
      <c r="F10" s="21">
        <v>300.95999999999998</v>
      </c>
      <c r="G10" s="21">
        <v>35.56</v>
      </c>
      <c r="H10" s="22">
        <v>0.25</v>
      </c>
      <c r="I10" s="20">
        <v>8</v>
      </c>
      <c r="J10" s="23">
        <v>44615</v>
      </c>
      <c r="K10" s="20">
        <v>2</v>
      </c>
      <c r="L10" s="20">
        <v>2022</v>
      </c>
    </row>
    <row r="11" spans="1:12" x14ac:dyDescent="0.3">
      <c r="A11" s="16" t="s">
        <v>45</v>
      </c>
      <c r="B11" s="16" t="s">
        <v>46</v>
      </c>
      <c r="C11" s="16" t="s">
        <v>47</v>
      </c>
      <c r="D11" s="16" t="s">
        <v>48</v>
      </c>
      <c r="E11" s="16" t="s">
        <v>31</v>
      </c>
      <c r="F11" s="17">
        <v>4546.0200000000004</v>
      </c>
      <c r="G11" s="17">
        <v>454.86</v>
      </c>
      <c r="H11" s="18">
        <v>0.15</v>
      </c>
      <c r="I11" s="16">
        <v>8</v>
      </c>
      <c r="J11" s="19">
        <v>45246</v>
      </c>
      <c r="K11" s="16">
        <v>11</v>
      </c>
      <c r="L11" s="16">
        <v>2023</v>
      </c>
    </row>
    <row r="12" spans="1:12" x14ac:dyDescent="0.3">
      <c r="A12" s="20" t="s">
        <v>49</v>
      </c>
      <c r="B12" s="20" t="s">
        <v>50</v>
      </c>
      <c r="C12" s="20" t="s">
        <v>25</v>
      </c>
      <c r="D12" s="20" t="s">
        <v>42</v>
      </c>
      <c r="E12" s="20" t="s">
        <v>22</v>
      </c>
      <c r="F12" s="21">
        <v>3672.09</v>
      </c>
      <c r="G12" s="21">
        <v>672.14</v>
      </c>
      <c r="H12" s="22">
        <v>0.25</v>
      </c>
      <c r="I12" s="20">
        <v>8</v>
      </c>
      <c r="J12" s="23">
        <v>45114</v>
      </c>
      <c r="K12" s="20">
        <v>7</v>
      </c>
      <c r="L12" s="20">
        <v>2023</v>
      </c>
    </row>
    <row r="13" spans="1:12" x14ac:dyDescent="0.3">
      <c r="A13" s="16" t="s">
        <v>51</v>
      </c>
      <c r="B13" s="16" t="s">
        <v>52</v>
      </c>
      <c r="C13" s="16" t="s">
        <v>15</v>
      </c>
      <c r="D13" s="16" t="s">
        <v>53</v>
      </c>
      <c r="E13" s="16" t="s">
        <v>31</v>
      </c>
      <c r="F13" s="17">
        <v>2269.0500000000002</v>
      </c>
      <c r="G13" s="17">
        <v>368.09</v>
      </c>
      <c r="H13" s="18">
        <v>0.2</v>
      </c>
      <c r="I13" s="16">
        <v>2</v>
      </c>
      <c r="J13" s="19">
        <v>45617</v>
      </c>
      <c r="K13" s="16">
        <v>11</v>
      </c>
      <c r="L13" s="16">
        <v>2024</v>
      </c>
    </row>
    <row r="14" spans="1:12" x14ac:dyDescent="0.3">
      <c r="A14" s="20" t="s">
        <v>54</v>
      </c>
      <c r="B14" s="20" t="s">
        <v>40</v>
      </c>
      <c r="C14" s="20" t="s">
        <v>15</v>
      </c>
      <c r="D14" s="20" t="s">
        <v>53</v>
      </c>
      <c r="E14" s="20" t="s">
        <v>31</v>
      </c>
      <c r="F14" s="21">
        <v>3695.43</v>
      </c>
      <c r="G14" s="21">
        <v>569.29999999999995</v>
      </c>
      <c r="H14" s="22">
        <v>0.05</v>
      </c>
      <c r="I14" s="20">
        <v>7</v>
      </c>
      <c r="J14" s="23">
        <v>45509</v>
      </c>
      <c r="K14" s="20">
        <v>8</v>
      </c>
      <c r="L14" s="20">
        <v>2024</v>
      </c>
    </row>
    <row r="15" spans="1:12" x14ac:dyDescent="0.3">
      <c r="A15" s="16" t="s">
        <v>55</v>
      </c>
      <c r="B15" s="16" t="s">
        <v>56</v>
      </c>
      <c r="C15" s="16" t="s">
        <v>47</v>
      </c>
      <c r="D15" s="16" t="s">
        <v>57</v>
      </c>
      <c r="E15" s="16" t="s">
        <v>17</v>
      </c>
      <c r="F15" s="17">
        <v>2420.61</v>
      </c>
      <c r="G15" s="17">
        <v>484.71</v>
      </c>
      <c r="H15" s="18">
        <v>0.05</v>
      </c>
      <c r="I15" s="16">
        <v>18</v>
      </c>
      <c r="J15" s="19">
        <v>44582</v>
      </c>
      <c r="K15" s="16">
        <v>1</v>
      </c>
      <c r="L15" s="16">
        <v>2022</v>
      </c>
    </row>
    <row r="16" spans="1:12" x14ac:dyDescent="0.3">
      <c r="A16" s="20" t="s">
        <v>58</v>
      </c>
      <c r="B16" s="20" t="s">
        <v>33</v>
      </c>
      <c r="C16" s="20" t="s">
        <v>15</v>
      </c>
      <c r="D16" s="20" t="s">
        <v>16</v>
      </c>
      <c r="E16" s="20" t="s">
        <v>17</v>
      </c>
      <c r="F16" s="21">
        <v>4646.5600000000004</v>
      </c>
      <c r="G16" s="21">
        <v>592.05999999999995</v>
      </c>
      <c r="H16" s="22">
        <v>0.1</v>
      </c>
      <c r="I16" s="20">
        <v>16</v>
      </c>
      <c r="J16" s="23">
        <v>45044</v>
      </c>
      <c r="K16" s="20">
        <v>4</v>
      </c>
      <c r="L16" s="20">
        <v>2023</v>
      </c>
    </row>
    <row r="17" spans="1:12" x14ac:dyDescent="0.3">
      <c r="A17" s="16" t="s">
        <v>59</v>
      </c>
      <c r="B17" s="16" t="s">
        <v>37</v>
      </c>
      <c r="C17" s="16" t="s">
        <v>15</v>
      </c>
      <c r="D17" s="16" t="s">
        <v>57</v>
      </c>
      <c r="E17" s="16" t="s">
        <v>17</v>
      </c>
      <c r="F17" s="17">
        <v>2019.07</v>
      </c>
      <c r="G17" s="17">
        <v>268.62</v>
      </c>
      <c r="H17" s="18">
        <v>0.2</v>
      </c>
      <c r="I17" s="16">
        <v>15</v>
      </c>
      <c r="J17" s="19">
        <v>45130</v>
      </c>
      <c r="K17" s="16">
        <v>7</v>
      </c>
      <c r="L17" s="16">
        <v>2023</v>
      </c>
    </row>
    <row r="18" spans="1:12" x14ac:dyDescent="0.3">
      <c r="A18" s="20" t="s">
        <v>60</v>
      </c>
      <c r="B18" s="20" t="s">
        <v>61</v>
      </c>
      <c r="C18" s="20" t="s">
        <v>20</v>
      </c>
      <c r="D18" s="20" t="s">
        <v>16</v>
      </c>
      <c r="E18" s="20" t="s">
        <v>17</v>
      </c>
      <c r="F18" s="21">
        <v>1111.51</v>
      </c>
      <c r="G18" s="21">
        <v>342.3</v>
      </c>
      <c r="H18" s="22">
        <v>0.1</v>
      </c>
      <c r="I18" s="20">
        <v>19</v>
      </c>
      <c r="J18" s="23">
        <v>45537</v>
      </c>
      <c r="K18" s="20">
        <v>9</v>
      </c>
      <c r="L18" s="20">
        <v>2024</v>
      </c>
    </row>
    <row r="19" spans="1:12" x14ac:dyDescent="0.3">
      <c r="A19" s="16" t="s">
        <v>62</v>
      </c>
      <c r="B19" s="16" t="s">
        <v>63</v>
      </c>
      <c r="C19" s="16" t="s">
        <v>15</v>
      </c>
      <c r="D19" s="16" t="s">
        <v>30</v>
      </c>
      <c r="E19" s="16" t="s">
        <v>31</v>
      </c>
      <c r="F19" s="17">
        <v>3004.05</v>
      </c>
      <c r="G19" s="17">
        <v>743.16</v>
      </c>
      <c r="H19" s="18">
        <v>0.25</v>
      </c>
      <c r="I19" s="16">
        <v>17</v>
      </c>
      <c r="J19" s="19">
        <v>44578</v>
      </c>
      <c r="K19" s="16">
        <v>1</v>
      </c>
      <c r="L19" s="16">
        <v>2022</v>
      </c>
    </row>
    <row r="20" spans="1:12" x14ac:dyDescent="0.3">
      <c r="A20" s="20" t="s">
        <v>64</v>
      </c>
      <c r="B20" s="20" t="s">
        <v>46</v>
      </c>
      <c r="C20" s="20" t="s">
        <v>47</v>
      </c>
      <c r="D20" s="20" t="s">
        <v>53</v>
      </c>
      <c r="E20" s="20" t="s">
        <v>31</v>
      </c>
      <c r="F20" s="21">
        <v>3056.17</v>
      </c>
      <c r="G20" s="21">
        <v>552.71</v>
      </c>
      <c r="H20" s="22">
        <v>0.1</v>
      </c>
      <c r="I20" s="20">
        <v>19</v>
      </c>
      <c r="J20" s="23">
        <v>44854</v>
      </c>
      <c r="K20" s="20">
        <v>10</v>
      </c>
      <c r="L20" s="20">
        <v>2022</v>
      </c>
    </row>
    <row r="21" spans="1:12" x14ac:dyDescent="0.3">
      <c r="A21" s="16" t="s">
        <v>65</v>
      </c>
      <c r="B21" s="16" t="s">
        <v>33</v>
      </c>
      <c r="C21" s="16" t="s">
        <v>25</v>
      </c>
      <c r="D21" s="16" t="s">
        <v>48</v>
      </c>
      <c r="E21" s="16" t="s">
        <v>31</v>
      </c>
      <c r="F21" s="17">
        <v>2212.2800000000002</v>
      </c>
      <c r="G21" s="17">
        <v>400.38</v>
      </c>
      <c r="H21" s="18">
        <v>0.25</v>
      </c>
      <c r="I21" s="16">
        <v>11</v>
      </c>
      <c r="J21" s="19">
        <v>45038</v>
      </c>
      <c r="K21" s="16">
        <v>4</v>
      </c>
      <c r="L21" s="16">
        <v>2023</v>
      </c>
    </row>
    <row r="22" spans="1:12" x14ac:dyDescent="0.3">
      <c r="A22" s="20" t="s">
        <v>66</v>
      </c>
      <c r="B22" s="20" t="s">
        <v>63</v>
      </c>
      <c r="C22" s="20" t="s">
        <v>47</v>
      </c>
      <c r="D22" s="20" t="s">
        <v>30</v>
      </c>
      <c r="E22" s="20" t="s">
        <v>31</v>
      </c>
      <c r="F22" s="21">
        <v>2099.77</v>
      </c>
      <c r="G22" s="21">
        <v>382.49</v>
      </c>
      <c r="H22" s="22">
        <v>0.15</v>
      </c>
      <c r="I22" s="20">
        <v>3</v>
      </c>
      <c r="J22" s="23">
        <v>44793</v>
      </c>
      <c r="K22" s="20">
        <v>8</v>
      </c>
      <c r="L22" s="20">
        <v>2022</v>
      </c>
    </row>
    <row r="23" spans="1:12" x14ac:dyDescent="0.3">
      <c r="A23" s="16" t="s">
        <v>67</v>
      </c>
      <c r="B23" s="16" t="s">
        <v>46</v>
      </c>
      <c r="C23" s="16" t="s">
        <v>15</v>
      </c>
      <c r="D23" s="16" t="s">
        <v>34</v>
      </c>
      <c r="E23" s="16" t="s">
        <v>35</v>
      </c>
      <c r="F23" s="17">
        <v>2780.65</v>
      </c>
      <c r="G23" s="17">
        <v>346.82</v>
      </c>
      <c r="H23" s="18">
        <v>0.25</v>
      </c>
      <c r="I23" s="16">
        <v>12</v>
      </c>
      <c r="J23" s="19">
        <v>44663</v>
      </c>
      <c r="K23" s="16">
        <v>4</v>
      </c>
      <c r="L23" s="16">
        <v>2022</v>
      </c>
    </row>
    <row r="24" spans="1:12" x14ac:dyDescent="0.3">
      <c r="A24" s="20" t="s">
        <v>68</v>
      </c>
      <c r="B24" s="20" t="s">
        <v>69</v>
      </c>
      <c r="C24" s="20" t="s">
        <v>47</v>
      </c>
      <c r="D24" s="20" t="s">
        <v>26</v>
      </c>
      <c r="E24" s="20" t="s">
        <v>27</v>
      </c>
      <c r="F24" s="21">
        <v>4201.9799999999996</v>
      </c>
      <c r="G24" s="21">
        <v>903.35</v>
      </c>
      <c r="H24" s="22">
        <v>0.15</v>
      </c>
      <c r="I24" s="20">
        <v>17</v>
      </c>
      <c r="J24" s="23">
        <v>44892</v>
      </c>
      <c r="K24" s="20">
        <v>11</v>
      </c>
      <c r="L24" s="20">
        <v>2022</v>
      </c>
    </row>
    <row r="25" spans="1:12" x14ac:dyDescent="0.3">
      <c r="A25" s="16" t="s">
        <v>70</v>
      </c>
      <c r="B25" s="16" t="s">
        <v>71</v>
      </c>
      <c r="C25" s="16" t="s">
        <v>41</v>
      </c>
      <c r="D25" s="16" t="s">
        <v>16</v>
      </c>
      <c r="E25" s="16" t="s">
        <v>17</v>
      </c>
      <c r="F25" s="17">
        <v>3384.27</v>
      </c>
      <c r="G25" s="17">
        <v>505.96</v>
      </c>
      <c r="H25" s="18">
        <v>0.1</v>
      </c>
      <c r="I25" s="16">
        <v>4</v>
      </c>
      <c r="J25" s="19">
        <v>45540</v>
      </c>
      <c r="K25" s="16">
        <v>9</v>
      </c>
      <c r="L25" s="16">
        <v>2024</v>
      </c>
    </row>
    <row r="26" spans="1:12" x14ac:dyDescent="0.3">
      <c r="A26" s="20" t="s">
        <v>72</v>
      </c>
      <c r="B26" s="20" t="s">
        <v>24</v>
      </c>
      <c r="C26" s="20" t="s">
        <v>41</v>
      </c>
      <c r="D26" s="20" t="s">
        <v>26</v>
      </c>
      <c r="E26" s="20" t="s">
        <v>27</v>
      </c>
      <c r="F26" s="21">
        <v>1211.02</v>
      </c>
      <c r="G26" s="21">
        <v>155.33000000000001</v>
      </c>
      <c r="H26" s="22">
        <v>0.15</v>
      </c>
      <c r="I26" s="20">
        <v>9</v>
      </c>
      <c r="J26" s="23">
        <v>45513</v>
      </c>
      <c r="K26" s="20">
        <v>8</v>
      </c>
      <c r="L26" s="20">
        <v>2024</v>
      </c>
    </row>
    <row r="27" spans="1:12" x14ac:dyDescent="0.3">
      <c r="A27" s="16" t="s">
        <v>73</v>
      </c>
      <c r="B27" s="16" t="s">
        <v>74</v>
      </c>
      <c r="C27" s="16" t="s">
        <v>15</v>
      </c>
      <c r="D27" s="16" t="s">
        <v>48</v>
      </c>
      <c r="E27" s="16" t="s">
        <v>31</v>
      </c>
      <c r="F27" s="17">
        <v>2233.16</v>
      </c>
      <c r="G27" s="17">
        <v>210.74</v>
      </c>
      <c r="H27" s="18">
        <v>0.15</v>
      </c>
      <c r="I27" s="16">
        <v>11</v>
      </c>
      <c r="J27" s="19">
        <v>44874</v>
      </c>
      <c r="K27" s="16">
        <v>11</v>
      </c>
      <c r="L27" s="16">
        <v>2022</v>
      </c>
    </row>
    <row r="28" spans="1:12" x14ac:dyDescent="0.3">
      <c r="A28" s="20" t="s">
        <v>75</v>
      </c>
      <c r="B28" s="20" t="s">
        <v>24</v>
      </c>
      <c r="C28" s="20" t="s">
        <v>20</v>
      </c>
      <c r="D28" s="20" t="s">
        <v>21</v>
      </c>
      <c r="E28" s="20" t="s">
        <v>22</v>
      </c>
      <c r="F28" s="21">
        <v>3587.2</v>
      </c>
      <c r="G28" s="21">
        <v>275.54000000000002</v>
      </c>
      <c r="H28" s="22">
        <v>0.25</v>
      </c>
      <c r="I28" s="20">
        <v>3</v>
      </c>
      <c r="J28" s="23">
        <v>45369</v>
      </c>
      <c r="K28" s="20">
        <v>3</v>
      </c>
      <c r="L28" s="20">
        <v>2024</v>
      </c>
    </row>
    <row r="29" spans="1:12" x14ac:dyDescent="0.3">
      <c r="A29" s="16" t="s">
        <v>76</v>
      </c>
      <c r="B29" s="16" t="s">
        <v>77</v>
      </c>
      <c r="C29" s="16" t="s">
        <v>41</v>
      </c>
      <c r="D29" s="16" t="s">
        <v>48</v>
      </c>
      <c r="E29" s="16" t="s">
        <v>31</v>
      </c>
      <c r="F29" s="17">
        <v>2852.12</v>
      </c>
      <c r="G29" s="17">
        <v>300.87</v>
      </c>
      <c r="H29" s="18">
        <v>0.2</v>
      </c>
      <c r="I29" s="16">
        <v>10</v>
      </c>
      <c r="J29" s="19">
        <v>44938</v>
      </c>
      <c r="K29" s="16">
        <v>1</v>
      </c>
      <c r="L29" s="16">
        <v>2023</v>
      </c>
    </row>
    <row r="30" spans="1:12" x14ac:dyDescent="0.3">
      <c r="A30" s="20" t="s">
        <v>78</v>
      </c>
      <c r="B30" s="20" t="s">
        <v>52</v>
      </c>
      <c r="C30" s="20" t="s">
        <v>47</v>
      </c>
      <c r="D30" s="20" t="s">
        <v>42</v>
      </c>
      <c r="E30" s="20" t="s">
        <v>22</v>
      </c>
      <c r="F30" s="21">
        <v>693.41</v>
      </c>
      <c r="G30" s="21">
        <v>166.96</v>
      </c>
      <c r="H30" s="22">
        <v>0.25</v>
      </c>
      <c r="I30" s="20">
        <v>14</v>
      </c>
      <c r="J30" s="23">
        <v>45631</v>
      </c>
      <c r="K30" s="20">
        <v>12</v>
      </c>
      <c r="L30" s="20">
        <v>2024</v>
      </c>
    </row>
    <row r="31" spans="1:12" x14ac:dyDescent="0.3">
      <c r="A31" s="16" t="s">
        <v>79</v>
      </c>
      <c r="B31" s="16" t="s">
        <v>80</v>
      </c>
      <c r="C31" s="16" t="s">
        <v>47</v>
      </c>
      <c r="D31" s="16" t="s">
        <v>42</v>
      </c>
      <c r="E31" s="16" t="s">
        <v>22</v>
      </c>
      <c r="F31" s="17">
        <v>4091.7</v>
      </c>
      <c r="G31" s="17">
        <v>347.62</v>
      </c>
      <c r="H31" s="18">
        <v>0.2</v>
      </c>
      <c r="I31" s="16">
        <v>11</v>
      </c>
      <c r="J31" s="19">
        <v>45258</v>
      </c>
      <c r="K31" s="16">
        <v>11</v>
      </c>
      <c r="L31" s="16">
        <v>2023</v>
      </c>
    </row>
    <row r="32" spans="1:12" x14ac:dyDescent="0.3">
      <c r="A32" s="20" t="s">
        <v>81</v>
      </c>
      <c r="B32" s="20" t="s">
        <v>37</v>
      </c>
      <c r="C32" s="20" t="s">
        <v>41</v>
      </c>
      <c r="D32" s="20" t="s">
        <v>42</v>
      </c>
      <c r="E32" s="20" t="s">
        <v>22</v>
      </c>
      <c r="F32" s="21">
        <v>3979.4</v>
      </c>
      <c r="G32" s="21">
        <v>739.59</v>
      </c>
      <c r="H32" s="22">
        <v>0.05</v>
      </c>
      <c r="I32" s="20">
        <v>2</v>
      </c>
      <c r="J32" s="23">
        <v>45023</v>
      </c>
      <c r="K32" s="20">
        <v>4</v>
      </c>
      <c r="L32" s="20">
        <v>2023</v>
      </c>
    </row>
    <row r="33" spans="1:12" x14ac:dyDescent="0.3">
      <c r="A33" s="16" t="s">
        <v>82</v>
      </c>
      <c r="B33" s="16" t="s">
        <v>83</v>
      </c>
      <c r="C33" s="16" t="s">
        <v>41</v>
      </c>
      <c r="D33" s="16" t="s">
        <v>38</v>
      </c>
      <c r="E33" s="16" t="s">
        <v>22</v>
      </c>
      <c r="F33" s="17">
        <v>4138.57</v>
      </c>
      <c r="G33" s="17">
        <v>580.04999999999995</v>
      </c>
      <c r="H33" s="18">
        <v>0.1</v>
      </c>
      <c r="I33" s="16">
        <v>7</v>
      </c>
      <c r="J33" s="19">
        <v>45086</v>
      </c>
      <c r="K33" s="16">
        <v>6</v>
      </c>
      <c r="L33" s="16">
        <v>2023</v>
      </c>
    </row>
    <row r="34" spans="1:12" x14ac:dyDescent="0.3">
      <c r="A34" s="20" t="s">
        <v>84</v>
      </c>
      <c r="B34" s="20" t="s">
        <v>85</v>
      </c>
      <c r="C34" s="20" t="s">
        <v>41</v>
      </c>
      <c r="D34" s="20" t="s">
        <v>53</v>
      </c>
      <c r="E34" s="20" t="s">
        <v>31</v>
      </c>
      <c r="F34" s="21">
        <v>3279.11</v>
      </c>
      <c r="G34" s="21">
        <v>707.97</v>
      </c>
      <c r="H34" s="22">
        <v>0.2</v>
      </c>
      <c r="I34" s="20">
        <v>18</v>
      </c>
      <c r="J34" s="23">
        <v>44930</v>
      </c>
      <c r="K34" s="20">
        <v>1</v>
      </c>
      <c r="L34" s="20">
        <v>2023</v>
      </c>
    </row>
    <row r="35" spans="1:12" x14ac:dyDescent="0.3">
      <c r="A35" s="16" t="s">
        <v>86</v>
      </c>
      <c r="B35" s="16" t="s">
        <v>77</v>
      </c>
      <c r="C35" s="16" t="s">
        <v>47</v>
      </c>
      <c r="D35" s="16" t="s">
        <v>26</v>
      </c>
      <c r="E35" s="16" t="s">
        <v>27</v>
      </c>
      <c r="F35" s="17">
        <v>4820.16</v>
      </c>
      <c r="G35" s="17">
        <v>448.9</v>
      </c>
      <c r="H35" s="18">
        <v>0.15</v>
      </c>
      <c r="I35" s="16">
        <v>20</v>
      </c>
      <c r="J35" s="19">
        <v>45101</v>
      </c>
      <c r="K35" s="16">
        <v>6</v>
      </c>
      <c r="L35" s="16">
        <v>2023</v>
      </c>
    </row>
    <row r="36" spans="1:12" x14ac:dyDescent="0.3">
      <c r="A36" s="20" t="s">
        <v>87</v>
      </c>
      <c r="B36" s="20" t="s">
        <v>24</v>
      </c>
      <c r="C36" s="20" t="s">
        <v>20</v>
      </c>
      <c r="D36" s="20" t="s">
        <v>30</v>
      </c>
      <c r="E36" s="20" t="s">
        <v>31</v>
      </c>
      <c r="F36" s="21">
        <v>4924.33</v>
      </c>
      <c r="G36" s="21">
        <v>918.31</v>
      </c>
      <c r="H36" s="22">
        <v>0.05</v>
      </c>
      <c r="I36" s="20">
        <v>19</v>
      </c>
      <c r="J36" s="23">
        <v>44683</v>
      </c>
      <c r="K36" s="20">
        <v>5</v>
      </c>
      <c r="L36" s="20">
        <v>2022</v>
      </c>
    </row>
    <row r="37" spans="1:12" x14ac:dyDescent="0.3">
      <c r="A37" s="16" t="s">
        <v>88</v>
      </c>
      <c r="B37" s="16" t="s">
        <v>89</v>
      </c>
      <c r="C37" s="16" t="s">
        <v>15</v>
      </c>
      <c r="D37" s="16" t="s">
        <v>57</v>
      </c>
      <c r="E37" s="16" t="s">
        <v>17</v>
      </c>
      <c r="F37" s="17">
        <v>4642.76</v>
      </c>
      <c r="G37" s="17">
        <v>946.13</v>
      </c>
      <c r="H37" s="18">
        <v>0.25</v>
      </c>
      <c r="I37" s="16">
        <v>7</v>
      </c>
      <c r="J37" s="19">
        <v>45110</v>
      </c>
      <c r="K37" s="16">
        <v>7</v>
      </c>
      <c r="L37" s="16">
        <v>2023</v>
      </c>
    </row>
    <row r="38" spans="1:12" x14ac:dyDescent="0.3">
      <c r="A38" s="20" t="s">
        <v>90</v>
      </c>
      <c r="B38" s="20" t="s">
        <v>91</v>
      </c>
      <c r="C38" s="20" t="s">
        <v>25</v>
      </c>
      <c r="D38" s="20" t="s">
        <v>30</v>
      </c>
      <c r="E38" s="20" t="s">
        <v>31</v>
      </c>
      <c r="F38" s="21">
        <v>3384.26</v>
      </c>
      <c r="G38" s="21">
        <v>900.02</v>
      </c>
      <c r="H38" s="22">
        <v>0.05</v>
      </c>
      <c r="I38" s="20">
        <v>10</v>
      </c>
      <c r="J38" s="23">
        <v>45434</v>
      </c>
      <c r="K38" s="20">
        <v>5</v>
      </c>
      <c r="L38" s="20">
        <v>2024</v>
      </c>
    </row>
    <row r="39" spans="1:12" x14ac:dyDescent="0.3">
      <c r="A39" s="16" t="s">
        <v>92</v>
      </c>
      <c r="B39" s="16" t="s">
        <v>40</v>
      </c>
      <c r="C39" s="16" t="s">
        <v>41</v>
      </c>
      <c r="D39" s="16" t="s">
        <v>57</v>
      </c>
      <c r="E39" s="16" t="s">
        <v>17</v>
      </c>
      <c r="F39" s="17">
        <v>3546.6</v>
      </c>
      <c r="G39" s="17">
        <v>350.64</v>
      </c>
      <c r="H39" s="18">
        <v>0.25</v>
      </c>
      <c r="I39" s="16">
        <v>14</v>
      </c>
      <c r="J39" s="19">
        <v>45495</v>
      </c>
      <c r="K39" s="16">
        <v>7</v>
      </c>
      <c r="L39" s="16">
        <v>2024</v>
      </c>
    </row>
    <row r="40" spans="1:12" x14ac:dyDescent="0.3">
      <c r="A40" s="20" t="s">
        <v>93</v>
      </c>
      <c r="B40" s="20" t="s">
        <v>94</v>
      </c>
      <c r="C40" s="20" t="s">
        <v>25</v>
      </c>
      <c r="D40" s="20" t="s">
        <v>21</v>
      </c>
      <c r="E40" s="20" t="s">
        <v>22</v>
      </c>
      <c r="F40" s="21">
        <v>1644.56</v>
      </c>
      <c r="G40" s="21">
        <v>380.43</v>
      </c>
      <c r="H40" s="22">
        <v>0.25</v>
      </c>
      <c r="I40" s="20">
        <v>10</v>
      </c>
      <c r="J40" s="23">
        <v>45030</v>
      </c>
      <c r="K40" s="20">
        <v>4</v>
      </c>
      <c r="L40" s="20">
        <v>2023</v>
      </c>
    </row>
    <row r="41" spans="1:12" x14ac:dyDescent="0.3">
      <c r="A41" s="16" t="s">
        <v>95</v>
      </c>
      <c r="B41" s="16" t="s">
        <v>96</v>
      </c>
      <c r="C41" s="16" t="s">
        <v>25</v>
      </c>
      <c r="D41" s="16" t="s">
        <v>34</v>
      </c>
      <c r="E41" s="16" t="s">
        <v>35</v>
      </c>
      <c r="F41" s="17">
        <v>1746.8</v>
      </c>
      <c r="G41" s="17">
        <v>294.22000000000003</v>
      </c>
      <c r="H41" s="18">
        <v>0.2</v>
      </c>
      <c r="I41" s="16">
        <v>7</v>
      </c>
      <c r="J41" s="19">
        <v>45530</v>
      </c>
      <c r="K41" s="16">
        <v>8</v>
      </c>
      <c r="L41" s="16">
        <v>2024</v>
      </c>
    </row>
    <row r="42" spans="1:12" x14ac:dyDescent="0.3">
      <c r="A42" s="20" t="s">
        <v>97</v>
      </c>
      <c r="B42" s="20" t="s">
        <v>98</v>
      </c>
      <c r="C42" s="20" t="s">
        <v>15</v>
      </c>
      <c r="D42" s="20" t="s">
        <v>21</v>
      </c>
      <c r="E42" s="20" t="s">
        <v>22</v>
      </c>
      <c r="F42" s="21">
        <v>2674.17</v>
      </c>
      <c r="G42" s="21">
        <v>368.63</v>
      </c>
      <c r="H42" s="22">
        <v>0.25</v>
      </c>
      <c r="I42" s="20">
        <v>8</v>
      </c>
      <c r="J42" s="23">
        <v>45420</v>
      </c>
      <c r="K42" s="20">
        <v>5</v>
      </c>
      <c r="L42" s="20">
        <v>2024</v>
      </c>
    </row>
    <row r="43" spans="1:12" x14ac:dyDescent="0.3">
      <c r="A43" s="16" t="s">
        <v>99</v>
      </c>
      <c r="B43" s="16" t="s">
        <v>29</v>
      </c>
      <c r="C43" s="16" t="s">
        <v>47</v>
      </c>
      <c r="D43" s="16" t="s">
        <v>42</v>
      </c>
      <c r="E43" s="16" t="s">
        <v>22</v>
      </c>
      <c r="F43" s="17">
        <v>421.83</v>
      </c>
      <c r="G43" s="17">
        <v>85.32</v>
      </c>
      <c r="H43" s="18">
        <v>0.2</v>
      </c>
      <c r="I43" s="16">
        <v>3</v>
      </c>
      <c r="J43" s="19">
        <v>45128</v>
      </c>
      <c r="K43" s="16">
        <v>7</v>
      </c>
      <c r="L43" s="16">
        <v>2023</v>
      </c>
    </row>
    <row r="44" spans="1:12" x14ac:dyDescent="0.3">
      <c r="A44" s="20" t="s">
        <v>100</v>
      </c>
      <c r="B44" s="20" t="s">
        <v>101</v>
      </c>
      <c r="C44" s="20" t="s">
        <v>47</v>
      </c>
      <c r="D44" s="20" t="s">
        <v>34</v>
      </c>
      <c r="E44" s="20" t="s">
        <v>35</v>
      </c>
      <c r="F44" s="21">
        <v>3542.5</v>
      </c>
      <c r="G44" s="21">
        <v>566.54999999999995</v>
      </c>
      <c r="H44" s="22">
        <v>0.2</v>
      </c>
      <c r="I44" s="20">
        <v>5</v>
      </c>
      <c r="J44" s="23">
        <v>45627</v>
      </c>
      <c r="K44" s="20">
        <v>12</v>
      </c>
      <c r="L44" s="20">
        <v>2024</v>
      </c>
    </row>
    <row r="45" spans="1:12" x14ac:dyDescent="0.3">
      <c r="A45" s="16" t="s">
        <v>102</v>
      </c>
      <c r="B45" s="16" t="s">
        <v>103</v>
      </c>
      <c r="C45" s="16" t="s">
        <v>20</v>
      </c>
      <c r="D45" s="16" t="s">
        <v>53</v>
      </c>
      <c r="E45" s="16" t="s">
        <v>31</v>
      </c>
      <c r="F45" s="17">
        <v>1044.26</v>
      </c>
      <c r="G45" s="17">
        <v>169.28</v>
      </c>
      <c r="H45" s="18">
        <v>0.25</v>
      </c>
      <c r="I45" s="16">
        <v>18</v>
      </c>
      <c r="J45" s="19">
        <v>44607</v>
      </c>
      <c r="K45" s="16">
        <v>2</v>
      </c>
      <c r="L45" s="16">
        <v>2022</v>
      </c>
    </row>
    <row r="46" spans="1:12" x14ac:dyDescent="0.3">
      <c r="A46" s="20" t="s">
        <v>104</v>
      </c>
      <c r="B46" s="20" t="s">
        <v>52</v>
      </c>
      <c r="C46" s="20" t="s">
        <v>20</v>
      </c>
      <c r="D46" s="20" t="s">
        <v>21</v>
      </c>
      <c r="E46" s="20" t="s">
        <v>22</v>
      </c>
      <c r="F46" s="21">
        <v>2749.43</v>
      </c>
      <c r="G46" s="21">
        <v>513.16999999999996</v>
      </c>
      <c r="H46" s="22">
        <v>0.25</v>
      </c>
      <c r="I46" s="20">
        <v>15</v>
      </c>
      <c r="J46" s="23">
        <v>45643</v>
      </c>
      <c r="K46" s="20">
        <v>12</v>
      </c>
      <c r="L46" s="20">
        <v>2024</v>
      </c>
    </row>
    <row r="47" spans="1:12" x14ac:dyDescent="0.3">
      <c r="A47" s="16" t="s">
        <v>105</v>
      </c>
      <c r="B47" s="16" t="s">
        <v>69</v>
      </c>
      <c r="C47" s="16" t="s">
        <v>25</v>
      </c>
      <c r="D47" s="16" t="s">
        <v>57</v>
      </c>
      <c r="E47" s="16" t="s">
        <v>17</v>
      </c>
      <c r="F47" s="17">
        <v>4506.6000000000004</v>
      </c>
      <c r="G47" s="17">
        <v>766.18</v>
      </c>
      <c r="H47" s="18">
        <v>0.2</v>
      </c>
      <c r="I47" s="16">
        <v>8</v>
      </c>
      <c r="J47" s="19">
        <v>45437</v>
      </c>
      <c r="K47" s="16">
        <v>5</v>
      </c>
      <c r="L47" s="16">
        <v>2024</v>
      </c>
    </row>
    <row r="48" spans="1:12" x14ac:dyDescent="0.3">
      <c r="A48" s="20" t="s">
        <v>106</v>
      </c>
      <c r="B48" s="20" t="s">
        <v>74</v>
      </c>
      <c r="C48" s="20" t="s">
        <v>20</v>
      </c>
      <c r="D48" s="20" t="s">
        <v>16</v>
      </c>
      <c r="E48" s="20" t="s">
        <v>17</v>
      </c>
      <c r="F48" s="21">
        <v>1348.38</v>
      </c>
      <c r="G48" s="21">
        <v>128.77000000000001</v>
      </c>
      <c r="H48" s="22">
        <v>0.2</v>
      </c>
      <c r="I48" s="20">
        <v>10</v>
      </c>
      <c r="J48" s="23">
        <v>44692</v>
      </c>
      <c r="K48" s="20">
        <v>5</v>
      </c>
      <c r="L48" s="20">
        <v>2022</v>
      </c>
    </row>
    <row r="49" spans="1:12" x14ac:dyDescent="0.3">
      <c r="A49" s="16" t="s">
        <v>107</v>
      </c>
      <c r="B49" s="16" t="s">
        <v>33</v>
      </c>
      <c r="C49" s="16" t="s">
        <v>25</v>
      </c>
      <c r="D49" s="16" t="s">
        <v>30</v>
      </c>
      <c r="E49" s="16" t="s">
        <v>31</v>
      </c>
      <c r="F49" s="17">
        <v>864.2</v>
      </c>
      <c r="G49" s="17">
        <v>152.26</v>
      </c>
      <c r="H49" s="18">
        <v>0.1</v>
      </c>
      <c r="I49" s="16">
        <v>5</v>
      </c>
      <c r="J49" s="19">
        <v>45385</v>
      </c>
      <c r="K49" s="16">
        <v>4</v>
      </c>
      <c r="L49" s="16">
        <v>2024</v>
      </c>
    </row>
    <row r="50" spans="1:12" x14ac:dyDescent="0.3">
      <c r="A50" s="20" t="s">
        <v>108</v>
      </c>
      <c r="B50" s="20" t="s">
        <v>44</v>
      </c>
      <c r="C50" s="20" t="s">
        <v>20</v>
      </c>
      <c r="D50" s="20" t="s">
        <v>57</v>
      </c>
      <c r="E50" s="20" t="s">
        <v>17</v>
      </c>
      <c r="F50" s="21">
        <v>2804.53</v>
      </c>
      <c r="G50" s="21">
        <v>259.29000000000002</v>
      </c>
      <c r="H50" s="22">
        <v>0.2</v>
      </c>
      <c r="I50" s="20">
        <v>14</v>
      </c>
      <c r="J50" s="23">
        <v>45222</v>
      </c>
      <c r="K50" s="20">
        <v>10</v>
      </c>
      <c r="L50" s="20">
        <v>2023</v>
      </c>
    </row>
    <row r="51" spans="1:12" x14ac:dyDescent="0.3">
      <c r="A51" s="16" t="s">
        <v>109</v>
      </c>
      <c r="B51" s="16" t="s">
        <v>110</v>
      </c>
      <c r="C51" s="16" t="s">
        <v>25</v>
      </c>
      <c r="D51" s="16" t="s">
        <v>48</v>
      </c>
      <c r="E51" s="16" t="s">
        <v>31</v>
      </c>
      <c r="F51" s="17">
        <v>2489.5</v>
      </c>
      <c r="G51" s="17">
        <v>369.58</v>
      </c>
      <c r="H51" s="18">
        <v>0.15</v>
      </c>
      <c r="I51" s="16">
        <v>13</v>
      </c>
      <c r="J51" s="19">
        <v>45193</v>
      </c>
      <c r="K51" s="16">
        <v>9</v>
      </c>
      <c r="L51" s="16">
        <v>2023</v>
      </c>
    </row>
    <row r="52" spans="1:12" x14ac:dyDescent="0.3">
      <c r="A52" s="20" t="s">
        <v>111</v>
      </c>
      <c r="B52" s="20" t="s">
        <v>112</v>
      </c>
      <c r="C52" s="20" t="s">
        <v>25</v>
      </c>
      <c r="D52" s="20" t="s">
        <v>16</v>
      </c>
      <c r="E52" s="20" t="s">
        <v>17</v>
      </c>
      <c r="F52" s="21">
        <v>1258.5899999999999</v>
      </c>
      <c r="G52" s="21">
        <v>190.56</v>
      </c>
      <c r="H52" s="22">
        <v>0.1</v>
      </c>
      <c r="I52" s="20">
        <v>16</v>
      </c>
      <c r="J52" s="23">
        <v>44753</v>
      </c>
      <c r="K52" s="20">
        <v>7</v>
      </c>
      <c r="L52" s="20">
        <v>2022</v>
      </c>
    </row>
    <row r="53" spans="1:12" x14ac:dyDescent="0.3">
      <c r="A53" s="16" t="s">
        <v>113</v>
      </c>
      <c r="B53" s="16" t="s">
        <v>114</v>
      </c>
      <c r="C53" s="16" t="s">
        <v>47</v>
      </c>
      <c r="D53" s="16" t="s">
        <v>57</v>
      </c>
      <c r="E53" s="16" t="s">
        <v>17</v>
      </c>
      <c r="F53" s="17">
        <v>2443.4699999999998</v>
      </c>
      <c r="G53" s="17">
        <v>759.09</v>
      </c>
      <c r="H53" s="18">
        <v>0.1</v>
      </c>
      <c r="I53" s="16">
        <v>18</v>
      </c>
      <c r="J53" s="19">
        <v>44761</v>
      </c>
      <c r="K53" s="16">
        <v>7</v>
      </c>
      <c r="L53" s="16">
        <v>2022</v>
      </c>
    </row>
    <row r="54" spans="1:12" x14ac:dyDescent="0.3">
      <c r="A54" s="20" t="s">
        <v>115</v>
      </c>
      <c r="B54" s="20" t="s">
        <v>33</v>
      </c>
      <c r="C54" s="20" t="s">
        <v>15</v>
      </c>
      <c r="D54" s="20" t="s">
        <v>34</v>
      </c>
      <c r="E54" s="20" t="s">
        <v>35</v>
      </c>
      <c r="F54" s="21">
        <v>3285.2</v>
      </c>
      <c r="G54" s="21">
        <v>936.42</v>
      </c>
      <c r="H54" s="22">
        <v>0.1</v>
      </c>
      <c r="I54" s="20">
        <v>6</v>
      </c>
      <c r="J54" s="23">
        <v>44694</v>
      </c>
      <c r="K54" s="20">
        <v>5</v>
      </c>
      <c r="L54" s="20">
        <v>2022</v>
      </c>
    </row>
    <row r="55" spans="1:12" x14ac:dyDescent="0.3">
      <c r="A55" s="16" t="s">
        <v>116</v>
      </c>
      <c r="B55" s="16" t="s">
        <v>117</v>
      </c>
      <c r="C55" s="16" t="s">
        <v>47</v>
      </c>
      <c r="D55" s="16" t="s">
        <v>30</v>
      </c>
      <c r="E55" s="16" t="s">
        <v>31</v>
      </c>
      <c r="F55" s="17">
        <v>1768.86</v>
      </c>
      <c r="G55" s="17">
        <v>239.95</v>
      </c>
      <c r="H55" s="18">
        <v>0.2</v>
      </c>
      <c r="I55" s="16">
        <v>14</v>
      </c>
      <c r="J55" s="19">
        <v>44973</v>
      </c>
      <c r="K55" s="16">
        <v>2</v>
      </c>
      <c r="L55" s="16">
        <v>2023</v>
      </c>
    </row>
    <row r="56" spans="1:12" x14ac:dyDescent="0.3">
      <c r="A56" s="20" t="s">
        <v>118</v>
      </c>
      <c r="B56" s="20" t="s">
        <v>63</v>
      </c>
      <c r="C56" s="20" t="s">
        <v>25</v>
      </c>
      <c r="D56" s="20" t="s">
        <v>48</v>
      </c>
      <c r="E56" s="20" t="s">
        <v>31</v>
      </c>
      <c r="F56" s="21">
        <v>4999.5600000000004</v>
      </c>
      <c r="G56" s="21">
        <v>663.18</v>
      </c>
      <c r="H56" s="22">
        <v>0.15</v>
      </c>
      <c r="I56" s="20">
        <v>3</v>
      </c>
      <c r="J56" s="23">
        <v>45316</v>
      </c>
      <c r="K56" s="20">
        <v>1</v>
      </c>
      <c r="L56" s="20">
        <v>2024</v>
      </c>
    </row>
    <row r="57" spans="1:12" x14ac:dyDescent="0.3">
      <c r="A57" s="16" t="s">
        <v>119</v>
      </c>
      <c r="B57" s="16" t="s">
        <v>120</v>
      </c>
      <c r="C57" s="16" t="s">
        <v>47</v>
      </c>
      <c r="D57" s="16" t="s">
        <v>48</v>
      </c>
      <c r="E57" s="16" t="s">
        <v>31</v>
      </c>
      <c r="F57" s="17">
        <v>4228.3</v>
      </c>
      <c r="G57" s="17">
        <v>437.93</v>
      </c>
      <c r="H57" s="18">
        <v>0.25</v>
      </c>
      <c r="I57" s="16">
        <v>5</v>
      </c>
      <c r="J57" s="19">
        <v>45234</v>
      </c>
      <c r="K57" s="16">
        <v>11</v>
      </c>
      <c r="L57" s="16">
        <v>2023</v>
      </c>
    </row>
    <row r="58" spans="1:12" x14ac:dyDescent="0.3">
      <c r="A58" s="20" t="s">
        <v>121</v>
      </c>
      <c r="B58" s="20" t="s">
        <v>117</v>
      </c>
      <c r="C58" s="20" t="s">
        <v>47</v>
      </c>
      <c r="D58" s="20" t="s">
        <v>34</v>
      </c>
      <c r="E58" s="20" t="s">
        <v>35</v>
      </c>
      <c r="F58" s="21">
        <v>3557.43</v>
      </c>
      <c r="G58" s="21">
        <v>429.22</v>
      </c>
      <c r="H58" s="22">
        <v>0.15</v>
      </c>
      <c r="I58" s="20">
        <v>20</v>
      </c>
      <c r="J58" s="23">
        <v>45630</v>
      </c>
      <c r="K58" s="20">
        <v>12</v>
      </c>
      <c r="L58" s="20">
        <v>2024</v>
      </c>
    </row>
    <row r="59" spans="1:12" x14ac:dyDescent="0.3">
      <c r="A59" s="16" t="s">
        <v>122</v>
      </c>
      <c r="B59" s="16" t="s">
        <v>123</v>
      </c>
      <c r="C59" s="16" t="s">
        <v>41</v>
      </c>
      <c r="D59" s="16" t="s">
        <v>21</v>
      </c>
      <c r="E59" s="16" t="s">
        <v>22</v>
      </c>
      <c r="F59" s="17">
        <v>2977.69</v>
      </c>
      <c r="G59" s="17">
        <v>617.44000000000005</v>
      </c>
      <c r="H59" s="18">
        <v>0.15</v>
      </c>
      <c r="I59" s="16">
        <v>13</v>
      </c>
      <c r="J59" s="19">
        <v>45267</v>
      </c>
      <c r="K59" s="16">
        <v>12</v>
      </c>
      <c r="L59" s="16">
        <v>2023</v>
      </c>
    </row>
    <row r="60" spans="1:12" x14ac:dyDescent="0.3">
      <c r="A60" s="20" t="s">
        <v>124</v>
      </c>
      <c r="B60" s="20" t="s">
        <v>125</v>
      </c>
      <c r="C60" s="20" t="s">
        <v>25</v>
      </c>
      <c r="D60" s="20" t="s">
        <v>53</v>
      </c>
      <c r="E60" s="20" t="s">
        <v>31</v>
      </c>
      <c r="F60" s="21">
        <v>4186.74</v>
      </c>
      <c r="G60" s="21">
        <v>472.8</v>
      </c>
      <c r="H60" s="22">
        <v>0.1</v>
      </c>
      <c r="I60" s="20">
        <v>10</v>
      </c>
      <c r="J60" s="23">
        <v>45591</v>
      </c>
      <c r="K60" s="20">
        <v>10</v>
      </c>
      <c r="L60" s="20">
        <v>2024</v>
      </c>
    </row>
    <row r="61" spans="1:12" x14ac:dyDescent="0.3">
      <c r="A61" s="16" t="s">
        <v>126</v>
      </c>
      <c r="B61" s="16" t="s">
        <v>127</v>
      </c>
      <c r="C61" s="16" t="s">
        <v>25</v>
      </c>
      <c r="D61" s="16" t="s">
        <v>53</v>
      </c>
      <c r="E61" s="16" t="s">
        <v>31</v>
      </c>
      <c r="F61" s="17">
        <v>397.13</v>
      </c>
      <c r="G61" s="17">
        <v>61.68</v>
      </c>
      <c r="H61" s="18">
        <v>0.25</v>
      </c>
      <c r="I61" s="16">
        <v>12</v>
      </c>
      <c r="J61" s="19">
        <v>44825</v>
      </c>
      <c r="K61" s="16">
        <v>9</v>
      </c>
      <c r="L61" s="16">
        <v>2022</v>
      </c>
    </row>
    <row r="62" spans="1:12" x14ac:dyDescent="0.3">
      <c r="A62" s="20" t="s">
        <v>128</v>
      </c>
      <c r="B62" s="20" t="s">
        <v>129</v>
      </c>
      <c r="C62" s="20" t="s">
        <v>15</v>
      </c>
      <c r="D62" s="20" t="s">
        <v>30</v>
      </c>
      <c r="E62" s="20" t="s">
        <v>31</v>
      </c>
      <c r="F62" s="21">
        <v>2216.2800000000002</v>
      </c>
      <c r="G62" s="21">
        <v>224.08</v>
      </c>
      <c r="H62" s="22">
        <v>0.2</v>
      </c>
      <c r="I62" s="20">
        <v>12</v>
      </c>
      <c r="J62" s="23">
        <v>45527</v>
      </c>
      <c r="K62" s="20">
        <v>8</v>
      </c>
      <c r="L62" s="20">
        <v>2024</v>
      </c>
    </row>
    <row r="63" spans="1:12" x14ac:dyDescent="0.3">
      <c r="A63" s="16" t="s">
        <v>130</v>
      </c>
      <c r="B63" s="16" t="s">
        <v>131</v>
      </c>
      <c r="C63" s="16" t="s">
        <v>20</v>
      </c>
      <c r="D63" s="16" t="s">
        <v>21</v>
      </c>
      <c r="E63" s="16" t="s">
        <v>22</v>
      </c>
      <c r="F63" s="17">
        <v>3722.22</v>
      </c>
      <c r="G63" s="17">
        <v>803.56</v>
      </c>
      <c r="H63" s="18">
        <v>0.15</v>
      </c>
      <c r="I63" s="16">
        <v>18</v>
      </c>
      <c r="J63" s="19">
        <v>45152</v>
      </c>
      <c r="K63" s="16">
        <v>8</v>
      </c>
      <c r="L63" s="16">
        <v>2023</v>
      </c>
    </row>
    <row r="64" spans="1:12" x14ac:dyDescent="0.3">
      <c r="A64" s="20" t="s">
        <v>132</v>
      </c>
      <c r="B64" s="20" t="s">
        <v>91</v>
      </c>
      <c r="C64" s="20" t="s">
        <v>41</v>
      </c>
      <c r="D64" s="20" t="s">
        <v>34</v>
      </c>
      <c r="E64" s="20" t="s">
        <v>35</v>
      </c>
      <c r="F64" s="21">
        <v>4288.22</v>
      </c>
      <c r="G64" s="21">
        <v>691.46</v>
      </c>
      <c r="H64" s="22">
        <v>0.05</v>
      </c>
      <c r="I64" s="20">
        <v>15</v>
      </c>
      <c r="J64" s="23">
        <v>44792</v>
      </c>
      <c r="K64" s="20">
        <v>8</v>
      </c>
      <c r="L64" s="20">
        <v>2022</v>
      </c>
    </row>
    <row r="65" spans="1:12" x14ac:dyDescent="0.3">
      <c r="A65" s="16" t="s">
        <v>133</v>
      </c>
      <c r="B65" s="16" t="s">
        <v>44</v>
      </c>
      <c r="C65" s="16" t="s">
        <v>20</v>
      </c>
      <c r="D65" s="16" t="s">
        <v>34</v>
      </c>
      <c r="E65" s="16" t="s">
        <v>35</v>
      </c>
      <c r="F65" s="17">
        <v>337.76</v>
      </c>
      <c r="G65" s="17">
        <v>41.76</v>
      </c>
      <c r="H65" s="18">
        <v>0.15</v>
      </c>
      <c r="I65" s="16">
        <v>7</v>
      </c>
      <c r="J65" s="19">
        <v>45057</v>
      </c>
      <c r="K65" s="16">
        <v>5</v>
      </c>
      <c r="L65" s="16">
        <v>2023</v>
      </c>
    </row>
    <row r="66" spans="1:12" x14ac:dyDescent="0.3">
      <c r="A66" s="20" t="s">
        <v>134</v>
      </c>
      <c r="B66" s="20" t="s">
        <v>125</v>
      </c>
      <c r="C66" s="20" t="s">
        <v>25</v>
      </c>
      <c r="D66" s="20" t="s">
        <v>26</v>
      </c>
      <c r="E66" s="20" t="s">
        <v>27</v>
      </c>
      <c r="F66" s="21">
        <v>4424.5200000000004</v>
      </c>
      <c r="G66" s="21">
        <v>340.26</v>
      </c>
      <c r="H66" s="22">
        <v>0.25</v>
      </c>
      <c r="I66" s="20">
        <v>7</v>
      </c>
      <c r="J66" s="23">
        <v>44675</v>
      </c>
      <c r="K66" s="20">
        <v>4</v>
      </c>
      <c r="L66" s="20">
        <v>2022</v>
      </c>
    </row>
    <row r="67" spans="1:12" x14ac:dyDescent="0.3">
      <c r="A67" s="16" t="s">
        <v>135</v>
      </c>
      <c r="B67" s="16" t="s">
        <v>24</v>
      </c>
      <c r="C67" s="16" t="s">
        <v>20</v>
      </c>
      <c r="D67" s="16" t="s">
        <v>57</v>
      </c>
      <c r="E67" s="16" t="s">
        <v>17</v>
      </c>
      <c r="F67" s="17">
        <v>3839.19</v>
      </c>
      <c r="G67" s="17">
        <v>803.08</v>
      </c>
      <c r="H67" s="18">
        <v>0.2</v>
      </c>
      <c r="I67" s="16">
        <v>16</v>
      </c>
      <c r="J67" s="19">
        <v>44929</v>
      </c>
      <c r="K67" s="16">
        <v>1</v>
      </c>
      <c r="L67" s="16">
        <v>2023</v>
      </c>
    </row>
    <row r="68" spans="1:12" x14ac:dyDescent="0.3">
      <c r="A68" s="20" t="s">
        <v>136</v>
      </c>
      <c r="B68" s="20" t="s">
        <v>40</v>
      </c>
      <c r="C68" s="20" t="s">
        <v>47</v>
      </c>
      <c r="D68" s="20" t="s">
        <v>26</v>
      </c>
      <c r="E68" s="20" t="s">
        <v>27</v>
      </c>
      <c r="F68" s="21">
        <v>3520.58</v>
      </c>
      <c r="G68" s="21">
        <v>795.97</v>
      </c>
      <c r="H68" s="22">
        <v>0.15</v>
      </c>
      <c r="I68" s="20">
        <v>12</v>
      </c>
      <c r="J68" s="23">
        <v>45186</v>
      </c>
      <c r="K68" s="20">
        <v>9</v>
      </c>
      <c r="L68" s="20">
        <v>2023</v>
      </c>
    </row>
    <row r="69" spans="1:12" x14ac:dyDescent="0.3">
      <c r="A69" s="16" t="s">
        <v>137</v>
      </c>
      <c r="B69" s="16" t="s">
        <v>138</v>
      </c>
      <c r="C69" s="16" t="s">
        <v>20</v>
      </c>
      <c r="D69" s="16" t="s">
        <v>30</v>
      </c>
      <c r="E69" s="16" t="s">
        <v>31</v>
      </c>
      <c r="F69" s="17">
        <v>2841.86</v>
      </c>
      <c r="G69" s="17">
        <v>666.01</v>
      </c>
      <c r="H69" s="18">
        <v>0.15</v>
      </c>
      <c r="I69" s="16">
        <v>9</v>
      </c>
      <c r="J69" s="19">
        <v>45054</v>
      </c>
      <c r="K69" s="16">
        <v>5</v>
      </c>
      <c r="L69" s="16">
        <v>2023</v>
      </c>
    </row>
    <row r="70" spans="1:12" x14ac:dyDescent="0.3">
      <c r="A70" s="20" t="s">
        <v>139</v>
      </c>
      <c r="B70" s="20" t="s">
        <v>91</v>
      </c>
      <c r="C70" s="20" t="s">
        <v>47</v>
      </c>
      <c r="D70" s="20" t="s">
        <v>53</v>
      </c>
      <c r="E70" s="20" t="s">
        <v>31</v>
      </c>
      <c r="F70" s="21">
        <v>773.86</v>
      </c>
      <c r="G70" s="21">
        <v>196.01</v>
      </c>
      <c r="H70" s="22">
        <v>0.25</v>
      </c>
      <c r="I70" s="20">
        <v>6</v>
      </c>
      <c r="J70" s="23">
        <v>44675</v>
      </c>
      <c r="K70" s="20">
        <v>4</v>
      </c>
      <c r="L70" s="20">
        <v>2022</v>
      </c>
    </row>
    <row r="71" spans="1:12" x14ac:dyDescent="0.3">
      <c r="A71" s="16" t="s">
        <v>140</v>
      </c>
      <c r="B71" s="16" t="s">
        <v>141</v>
      </c>
      <c r="C71" s="16" t="s">
        <v>41</v>
      </c>
      <c r="D71" s="16" t="s">
        <v>38</v>
      </c>
      <c r="E71" s="16" t="s">
        <v>22</v>
      </c>
      <c r="F71" s="17">
        <v>3030.02</v>
      </c>
      <c r="G71" s="17">
        <v>566.30999999999995</v>
      </c>
      <c r="H71" s="18">
        <v>0.25</v>
      </c>
      <c r="I71" s="16">
        <v>4</v>
      </c>
      <c r="J71" s="19">
        <v>44689</v>
      </c>
      <c r="K71" s="16">
        <v>5</v>
      </c>
      <c r="L71" s="16">
        <v>2022</v>
      </c>
    </row>
    <row r="72" spans="1:12" x14ac:dyDescent="0.3">
      <c r="A72" s="20" t="s">
        <v>142</v>
      </c>
      <c r="B72" s="20" t="s">
        <v>83</v>
      </c>
      <c r="C72" s="20" t="s">
        <v>47</v>
      </c>
      <c r="D72" s="20" t="s">
        <v>30</v>
      </c>
      <c r="E72" s="20" t="s">
        <v>31</v>
      </c>
      <c r="F72" s="21">
        <v>267.91000000000003</v>
      </c>
      <c r="G72" s="21">
        <v>26.45</v>
      </c>
      <c r="H72" s="22">
        <v>0.25</v>
      </c>
      <c r="I72" s="20">
        <v>2</v>
      </c>
      <c r="J72" s="23">
        <v>44814</v>
      </c>
      <c r="K72" s="20">
        <v>9</v>
      </c>
      <c r="L72" s="20">
        <v>2022</v>
      </c>
    </row>
    <row r="73" spans="1:12" x14ac:dyDescent="0.3">
      <c r="A73" s="16" t="s">
        <v>143</v>
      </c>
      <c r="B73" s="16" t="s">
        <v>123</v>
      </c>
      <c r="C73" s="16" t="s">
        <v>20</v>
      </c>
      <c r="D73" s="16" t="s">
        <v>21</v>
      </c>
      <c r="E73" s="16" t="s">
        <v>22</v>
      </c>
      <c r="F73" s="17">
        <v>4389.05</v>
      </c>
      <c r="G73" s="17">
        <v>563.16999999999996</v>
      </c>
      <c r="H73" s="18">
        <v>0.25</v>
      </c>
      <c r="I73" s="16">
        <v>16</v>
      </c>
      <c r="J73" s="19">
        <v>45083</v>
      </c>
      <c r="K73" s="16">
        <v>6</v>
      </c>
      <c r="L73" s="16">
        <v>2023</v>
      </c>
    </row>
    <row r="74" spans="1:12" x14ac:dyDescent="0.3">
      <c r="A74" s="20" t="s">
        <v>144</v>
      </c>
      <c r="B74" s="20" t="s">
        <v>145</v>
      </c>
      <c r="C74" s="20" t="s">
        <v>41</v>
      </c>
      <c r="D74" s="20" t="s">
        <v>48</v>
      </c>
      <c r="E74" s="20" t="s">
        <v>31</v>
      </c>
      <c r="F74" s="21">
        <v>2493.1</v>
      </c>
      <c r="G74" s="21">
        <v>474.11</v>
      </c>
      <c r="H74" s="22">
        <v>0.05</v>
      </c>
      <c r="I74" s="20">
        <v>3</v>
      </c>
      <c r="J74" s="23">
        <v>45618</v>
      </c>
      <c r="K74" s="20">
        <v>11</v>
      </c>
      <c r="L74" s="20">
        <v>2024</v>
      </c>
    </row>
    <row r="75" spans="1:12" x14ac:dyDescent="0.3">
      <c r="A75" s="16" t="s">
        <v>146</v>
      </c>
      <c r="B75" s="16" t="s">
        <v>61</v>
      </c>
      <c r="C75" s="16" t="s">
        <v>47</v>
      </c>
      <c r="D75" s="16" t="s">
        <v>48</v>
      </c>
      <c r="E75" s="16" t="s">
        <v>31</v>
      </c>
      <c r="F75" s="17">
        <v>4093.48</v>
      </c>
      <c r="G75" s="17">
        <v>422.04</v>
      </c>
      <c r="H75" s="18">
        <v>0.15</v>
      </c>
      <c r="I75" s="16">
        <v>8</v>
      </c>
      <c r="J75" s="19">
        <v>44829</v>
      </c>
      <c r="K75" s="16">
        <v>9</v>
      </c>
      <c r="L75" s="16">
        <v>2022</v>
      </c>
    </row>
    <row r="76" spans="1:12" x14ac:dyDescent="0.3">
      <c r="A76" s="20" t="s">
        <v>147</v>
      </c>
      <c r="B76" s="20" t="s">
        <v>24</v>
      </c>
      <c r="C76" s="20" t="s">
        <v>25</v>
      </c>
      <c r="D76" s="20" t="s">
        <v>57</v>
      </c>
      <c r="E76" s="20" t="s">
        <v>17</v>
      </c>
      <c r="F76" s="21">
        <v>3995.56</v>
      </c>
      <c r="G76" s="21">
        <v>1056.95</v>
      </c>
      <c r="H76" s="22">
        <v>0.1</v>
      </c>
      <c r="I76" s="20">
        <v>13</v>
      </c>
      <c r="J76" s="23">
        <v>45148</v>
      </c>
      <c r="K76" s="20">
        <v>8</v>
      </c>
      <c r="L76" s="20">
        <v>2023</v>
      </c>
    </row>
    <row r="77" spans="1:12" x14ac:dyDescent="0.3">
      <c r="A77" s="16" t="s">
        <v>148</v>
      </c>
      <c r="B77" s="16" t="s">
        <v>83</v>
      </c>
      <c r="C77" s="16" t="s">
        <v>20</v>
      </c>
      <c r="D77" s="16" t="s">
        <v>34</v>
      </c>
      <c r="E77" s="16" t="s">
        <v>35</v>
      </c>
      <c r="F77" s="17">
        <v>2929.42</v>
      </c>
      <c r="G77" s="17">
        <v>702.44</v>
      </c>
      <c r="H77" s="18">
        <v>0.05</v>
      </c>
      <c r="I77" s="16">
        <v>4</v>
      </c>
      <c r="J77" s="19">
        <v>44872</v>
      </c>
      <c r="K77" s="16">
        <v>11</v>
      </c>
      <c r="L77" s="16">
        <v>2022</v>
      </c>
    </row>
    <row r="78" spans="1:12" x14ac:dyDescent="0.3">
      <c r="A78" s="20" t="s">
        <v>149</v>
      </c>
      <c r="B78" s="20" t="s">
        <v>37</v>
      </c>
      <c r="C78" s="20" t="s">
        <v>15</v>
      </c>
      <c r="D78" s="20" t="s">
        <v>26</v>
      </c>
      <c r="E78" s="20" t="s">
        <v>27</v>
      </c>
      <c r="F78" s="21">
        <v>1351.35</v>
      </c>
      <c r="G78" s="21">
        <v>120.37</v>
      </c>
      <c r="H78" s="22">
        <v>0.25</v>
      </c>
      <c r="I78" s="20">
        <v>1</v>
      </c>
      <c r="J78" s="23">
        <v>45161</v>
      </c>
      <c r="K78" s="20">
        <v>8</v>
      </c>
      <c r="L78" s="20">
        <v>2023</v>
      </c>
    </row>
    <row r="79" spans="1:12" x14ac:dyDescent="0.3">
      <c r="A79" s="16" t="s">
        <v>150</v>
      </c>
      <c r="B79" s="16" t="s">
        <v>98</v>
      </c>
      <c r="C79" s="16" t="s">
        <v>20</v>
      </c>
      <c r="D79" s="16" t="s">
        <v>34</v>
      </c>
      <c r="E79" s="16" t="s">
        <v>35</v>
      </c>
      <c r="F79" s="17">
        <v>356.67</v>
      </c>
      <c r="G79" s="17">
        <v>83.9</v>
      </c>
      <c r="H79" s="18">
        <v>0.15</v>
      </c>
      <c r="I79" s="16">
        <v>15</v>
      </c>
      <c r="J79" s="19">
        <v>44873</v>
      </c>
      <c r="K79" s="16">
        <v>11</v>
      </c>
      <c r="L79" s="16">
        <v>2022</v>
      </c>
    </row>
    <row r="80" spans="1:12" x14ac:dyDescent="0.3">
      <c r="A80" s="20" t="s">
        <v>151</v>
      </c>
      <c r="B80" s="20" t="s">
        <v>52</v>
      </c>
      <c r="C80" s="20" t="s">
        <v>25</v>
      </c>
      <c r="D80" s="20" t="s">
        <v>26</v>
      </c>
      <c r="E80" s="20" t="s">
        <v>27</v>
      </c>
      <c r="F80" s="21">
        <v>4058.75</v>
      </c>
      <c r="G80" s="21">
        <v>753.53</v>
      </c>
      <c r="H80" s="22">
        <v>0.1</v>
      </c>
      <c r="I80" s="20">
        <v>18</v>
      </c>
      <c r="J80" s="23">
        <v>44870</v>
      </c>
      <c r="K80" s="20">
        <v>11</v>
      </c>
      <c r="L80" s="20">
        <v>2022</v>
      </c>
    </row>
    <row r="81" spans="1:12" x14ac:dyDescent="0.3">
      <c r="A81" s="16" t="s">
        <v>152</v>
      </c>
      <c r="B81" s="16" t="s">
        <v>46</v>
      </c>
      <c r="C81" s="16" t="s">
        <v>47</v>
      </c>
      <c r="D81" s="16" t="s">
        <v>26</v>
      </c>
      <c r="E81" s="16" t="s">
        <v>27</v>
      </c>
      <c r="F81" s="17">
        <v>486.26</v>
      </c>
      <c r="G81" s="17">
        <v>102.82</v>
      </c>
      <c r="H81" s="18">
        <v>0.15</v>
      </c>
      <c r="I81" s="16">
        <v>19</v>
      </c>
      <c r="J81" s="19">
        <v>45142</v>
      </c>
      <c r="K81" s="16">
        <v>8</v>
      </c>
      <c r="L81" s="16">
        <v>2023</v>
      </c>
    </row>
    <row r="82" spans="1:12" x14ac:dyDescent="0.3">
      <c r="A82" s="20" t="s">
        <v>153</v>
      </c>
      <c r="B82" s="20" t="s">
        <v>125</v>
      </c>
      <c r="C82" s="20" t="s">
        <v>41</v>
      </c>
      <c r="D82" s="20" t="s">
        <v>38</v>
      </c>
      <c r="E82" s="20" t="s">
        <v>22</v>
      </c>
      <c r="F82" s="21">
        <v>2132.04</v>
      </c>
      <c r="G82" s="21">
        <v>407.97</v>
      </c>
      <c r="H82" s="22">
        <v>0.15</v>
      </c>
      <c r="I82" s="20">
        <v>16</v>
      </c>
      <c r="J82" s="23">
        <v>44977</v>
      </c>
      <c r="K82" s="20">
        <v>2</v>
      </c>
      <c r="L82" s="20">
        <v>2023</v>
      </c>
    </row>
    <row r="83" spans="1:12" x14ac:dyDescent="0.3">
      <c r="A83" s="16" t="s">
        <v>154</v>
      </c>
      <c r="B83" s="16" t="s">
        <v>138</v>
      </c>
      <c r="C83" s="16" t="s">
        <v>20</v>
      </c>
      <c r="D83" s="16" t="s">
        <v>48</v>
      </c>
      <c r="E83" s="16" t="s">
        <v>31</v>
      </c>
      <c r="F83" s="17">
        <v>1747.14</v>
      </c>
      <c r="G83" s="17">
        <v>158.11000000000001</v>
      </c>
      <c r="H83" s="18">
        <v>0.15</v>
      </c>
      <c r="I83" s="16">
        <v>8</v>
      </c>
      <c r="J83" s="19">
        <v>45584</v>
      </c>
      <c r="K83" s="16">
        <v>10</v>
      </c>
      <c r="L83" s="16">
        <v>2024</v>
      </c>
    </row>
    <row r="84" spans="1:12" x14ac:dyDescent="0.3">
      <c r="A84" s="20" t="s">
        <v>155</v>
      </c>
      <c r="B84" s="20" t="s">
        <v>94</v>
      </c>
      <c r="C84" s="20" t="s">
        <v>41</v>
      </c>
      <c r="D84" s="20" t="s">
        <v>48</v>
      </c>
      <c r="E84" s="20" t="s">
        <v>31</v>
      </c>
      <c r="F84" s="21">
        <v>393.11</v>
      </c>
      <c r="G84" s="21">
        <v>77</v>
      </c>
      <c r="H84" s="22">
        <v>0.1</v>
      </c>
      <c r="I84" s="20">
        <v>15</v>
      </c>
      <c r="J84" s="23">
        <v>45004</v>
      </c>
      <c r="K84" s="20">
        <v>3</v>
      </c>
      <c r="L84" s="20">
        <v>2023</v>
      </c>
    </row>
    <row r="85" spans="1:12" x14ac:dyDescent="0.3">
      <c r="A85" s="16" t="s">
        <v>156</v>
      </c>
      <c r="B85" s="16" t="s">
        <v>33</v>
      </c>
      <c r="C85" s="16" t="s">
        <v>20</v>
      </c>
      <c r="D85" s="16" t="s">
        <v>57</v>
      </c>
      <c r="E85" s="16" t="s">
        <v>17</v>
      </c>
      <c r="F85" s="17">
        <v>2456.0500000000002</v>
      </c>
      <c r="G85" s="17">
        <v>360.21</v>
      </c>
      <c r="H85" s="18">
        <v>0.2</v>
      </c>
      <c r="I85" s="16">
        <v>4</v>
      </c>
      <c r="J85" s="19">
        <v>44726</v>
      </c>
      <c r="K85" s="16">
        <v>6</v>
      </c>
      <c r="L85" s="16">
        <v>2022</v>
      </c>
    </row>
    <row r="86" spans="1:12" x14ac:dyDescent="0.3">
      <c r="A86" s="20" t="s">
        <v>157</v>
      </c>
      <c r="B86" s="20" t="s">
        <v>52</v>
      </c>
      <c r="C86" s="20" t="s">
        <v>41</v>
      </c>
      <c r="D86" s="20" t="s">
        <v>38</v>
      </c>
      <c r="E86" s="20" t="s">
        <v>22</v>
      </c>
      <c r="F86" s="21">
        <v>4736.93</v>
      </c>
      <c r="G86" s="21">
        <v>387.86</v>
      </c>
      <c r="H86" s="22">
        <v>0.25</v>
      </c>
      <c r="I86" s="20">
        <v>3</v>
      </c>
      <c r="J86" s="23">
        <v>45057</v>
      </c>
      <c r="K86" s="20">
        <v>5</v>
      </c>
      <c r="L86" s="20">
        <v>2023</v>
      </c>
    </row>
    <row r="87" spans="1:12" x14ac:dyDescent="0.3">
      <c r="A87" s="16" t="s">
        <v>158</v>
      </c>
      <c r="B87" s="16" t="s">
        <v>145</v>
      </c>
      <c r="C87" s="16" t="s">
        <v>20</v>
      </c>
      <c r="D87" s="16" t="s">
        <v>53</v>
      </c>
      <c r="E87" s="16" t="s">
        <v>31</v>
      </c>
      <c r="F87" s="17">
        <v>2670.06</v>
      </c>
      <c r="G87" s="17">
        <v>670.7</v>
      </c>
      <c r="H87" s="18">
        <v>0.05</v>
      </c>
      <c r="I87" s="16">
        <v>18</v>
      </c>
      <c r="J87" s="19">
        <v>45109</v>
      </c>
      <c r="K87" s="16">
        <v>7</v>
      </c>
      <c r="L87" s="16">
        <v>2023</v>
      </c>
    </row>
    <row r="88" spans="1:12" x14ac:dyDescent="0.3">
      <c r="A88" s="20" t="s">
        <v>159</v>
      </c>
      <c r="B88" s="20" t="s">
        <v>160</v>
      </c>
      <c r="C88" s="20" t="s">
        <v>25</v>
      </c>
      <c r="D88" s="20" t="s">
        <v>42</v>
      </c>
      <c r="E88" s="20" t="s">
        <v>22</v>
      </c>
      <c r="F88" s="21">
        <v>3188.64</v>
      </c>
      <c r="G88" s="21">
        <v>653.92999999999995</v>
      </c>
      <c r="H88" s="22">
        <v>0.2</v>
      </c>
      <c r="I88" s="20">
        <v>2</v>
      </c>
      <c r="J88" s="23">
        <v>44699</v>
      </c>
      <c r="K88" s="20">
        <v>5</v>
      </c>
      <c r="L88" s="20">
        <v>2022</v>
      </c>
    </row>
    <row r="89" spans="1:12" x14ac:dyDescent="0.3">
      <c r="A89" s="16" t="s">
        <v>161</v>
      </c>
      <c r="B89" s="16" t="s">
        <v>69</v>
      </c>
      <c r="C89" s="16" t="s">
        <v>41</v>
      </c>
      <c r="D89" s="16" t="s">
        <v>21</v>
      </c>
      <c r="E89" s="16" t="s">
        <v>22</v>
      </c>
      <c r="F89" s="17">
        <v>4428.0600000000004</v>
      </c>
      <c r="G89" s="17">
        <v>461.78</v>
      </c>
      <c r="H89" s="18">
        <v>0.2</v>
      </c>
      <c r="I89" s="16">
        <v>20</v>
      </c>
      <c r="J89" s="19">
        <v>44901</v>
      </c>
      <c r="K89" s="16">
        <v>12</v>
      </c>
      <c r="L89" s="16">
        <v>2022</v>
      </c>
    </row>
    <row r="90" spans="1:12" x14ac:dyDescent="0.3">
      <c r="A90" s="20" t="s">
        <v>162</v>
      </c>
      <c r="B90" s="20" t="s">
        <v>19</v>
      </c>
      <c r="C90" s="20" t="s">
        <v>25</v>
      </c>
      <c r="D90" s="20" t="s">
        <v>26</v>
      </c>
      <c r="E90" s="20" t="s">
        <v>27</v>
      </c>
      <c r="F90" s="21">
        <v>2850.81</v>
      </c>
      <c r="G90" s="21">
        <v>422.96</v>
      </c>
      <c r="H90" s="22">
        <v>0.05</v>
      </c>
      <c r="I90" s="20">
        <v>4</v>
      </c>
      <c r="J90" s="23">
        <v>44978</v>
      </c>
      <c r="K90" s="20">
        <v>2</v>
      </c>
      <c r="L90" s="20">
        <v>2023</v>
      </c>
    </row>
    <row r="91" spans="1:12" x14ac:dyDescent="0.3">
      <c r="A91" s="16" t="s">
        <v>163</v>
      </c>
      <c r="B91" s="16" t="s">
        <v>71</v>
      </c>
      <c r="C91" s="16" t="s">
        <v>20</v>
      </c>
      <c r="D91" s="16" t="s">
        <v>21</v>
      </c>
      <c r="E91" s="16" t="s">
        <v>22</v>
      </c>
      <c r="F91" s="17">
        <v>3639.7</v>
      </c>
      <c r="G91" s="17">
        <v>754.38</v>
      </c>
      <c r="H91" s="18">
        <v>0.25</v>
      </c>
      <c r="I91" s="16">
        <v>14</v>
      </c>
      <c r="J91" s="19">
        <v>45146</v>
      </c>
      <c r="K91" s="16">
        <v>8</v>
      </c>
      <c r="L91" s="16">
        <v>2023</v>
      </c>
    </row>
    <row r="92" spans="1:12" x14ac:dyDescent="0.3">
      <c r="A92" s="20" t="s">
        <v>164</v>
      </c>
      <c r="B92" s="20" t="s">
        <v>61</v>
      </c>
      <c r="C92" s="20" t="s">
        <v>25</v>
      </c>
      <c r="D92" s="20" t="s">
        <v>38</v>
      </c>
      <c r="E92" s="20" t="s">
        <v>22</v>
      </c>
      <c r="F92" s="21">
        <v>2041.21</v>
      </c>
      <c r="G92" s="21">
        <v>347.61</v>
      </c>
      <c r="H92" s="22">
        <v>0.25</v>
      </c>
      <c r="I92" s="20">
        <v>5</v>
      </c>
      <c r="J92" s="23">
        <v>44706</v>
      </c>
      <c r="K92" s="20">
        <v>5</v>
      </c>
      <c r="L92" s="20">
        <v>2022</v>
      </c>
    </row>
    <row r="93" spans="1:12" x14ac:dyDescent="0.3">
      <c r="A93" s="16" t="s">
        <v>165</v>
      </c>
      <c r="B93" s="16" t="s">
        <v>71</v>
      </c>
      <c r="C93" s="16" t="s">
        <v>41</v>
      </c>
      <c r="D93" s="16" t="s">
        <v>57</v>
      </c>
      <c r="E93" s="16" t="s">
        <v>17</v>
      </c>
      <c r="F93" s="17">
        <v>3981.04</v>
      </c>
      <c r="G93" s="17">
        <v>1032.55</v>
      </c>
      <c r="H93" s="18">
        <v>0.15</v>
      </c>
      <c r="I93" s="16">
        <v>10</v>
      </c>
      <c r="J93" s="19">
        <v>45439</v>
      </c>
      <c r="K93" s="16">
        <v>5</v>
      </c>
      <c r="L93" s="16">
        <v>2024</v>
      </c>
    </row>
    <row r="94" spans="1:12" x14ac:dyDescent="0.3">
      <c r="A94" s="20" t="s">
        <v>166</v>
      </c>
      <c r="B94" s="20" t="s">
        <v>52</v>
      </c>
      <c r="C94" s="20" t="s">
        <v>25</v>
      </c>
      <c r="D94" s="20" t="s">
        <v>34</v>
      </c>
      <c r="E94" s="20" t="s">
        <v>35</v>
      </c>
      <c r="F94" s="21">
        <v>2550.27</v>
      </c>
      <c r="G94" s="21">
        <v>485.76</v>
      </c>
      <c r="H94" s="22">
        <v>0.1</v>
      </c>
      <c r="I94" s="20">
        <v>16</v>
      </c>
      <c r="J94" s="23">
        <v>45095</v>
      </c>
      <c r="K94" s="20">
        <v>6</v>
      </c>
      <c r="L94" s="20">
        <v>2023</v>
      </c>
    </row>
    <row r="95" spans="1:12" x14ac:dyDescent="0.3">
      <c r="A95" s="16" t="s">
        <v>167</v>
      </c>
      <c r="B95" s="16" t="s">
        <v>117</v>
      </c>
      <c r="C95" s="16" t="s">
        <v>20</v>
      </c>
      <c r="D95" s="16" t="s">
        <v>16</v>
      </c>
      <c r="E95" s="16" t="s">
        <v>17</v>
      </c>
      <c r="F95" s="17">
        <v>4677.6899999999996</v>
      </c>
      <c r="G95" s="17">
        <v>1453.24</v>
      </c>
      <c r="H95" s="18">
        <v>0.1</v>
      </c>
      <c r="I95" s="16">
        <v>8</v>
      </c>
      <c r="J95" s="19">
        <v>45481</v>
      </c>
      <c r="K95" s="16">
        <v>7</v>
      </c>
      <c r="L95" s="16">
        <v>2024</v>
      </c>
    </row>
    <row r="96" spans="1:12" x14ac:dyDescent="0.3">
      <c r="A96" s="20" t="s">
        <v>168</v>
      </c>
      <c r="B96" s="20" t="s">
        <v>91</v>
      </c>
      <c r="C96" s="20" t="s">
        <v>15</v>
      </c>
      <c r="D96" s="20" t="s">
        <v>57</v>
      </c>
      <c r="E96" s="20" t="s">
        <v>17</v>
      </c>
      <c r="F96" s="21">
        <v>3774.58</v>
      </c>
      <c r="G96" s="21">
        <v>593.41999999999996</v>
      </c>
      <c r="H96" s="22">
        <v>0.2</v>
      </c>
      <c r="I96" s="20">
        <v>5</v>
      </c>
      <c r="J96" s="23">
        <v>44931</v>
      </c>
      <c r="K96" s="20">
        <v>1</v>
      </c>
      <c r="L96" s="20">
        <v>2023</v>
      </c>
    </row>
    <row r="97" spans="1:12" x14ac:dyDescent="0.3">
      <c r="A97" s="16" t="s">
        <v>169</v>
      </c>
      <c r="B97" s="16" t="s">
        <v>44</v>
      </c>
      <c r="C97" s="16" t="s">
        <v>25</v>
      </c>
      <c r="D97" s="16" t="s">
        <v>16</v>
      </c>
      <c r="E97" s="16" t="s">
        <v>17</v>
      </c>
      <c r="F97" s="17">
        <v>4374.5600000000004</v>
      </c>
      <c r="G97" s="17">
        <v>437.2</v>
      </c>
      <c r="H97" s="18">
        <v>0.2</v>
      </c>
      <c r="I97" s="16">
        <v>15</v>
      </c>
      <c r="J97" s="19">
        <v>44900</v>
      </c>
      <c r="K97" s="16">
        <v>12</v>
      </c>
      <c r="L97" s="16">
        <v>2022</v>
      </c>
    </row>
    <row r="98" spans="1:12" x14ac:dyDescent="0.3">
      <c r="A98" s="20" t="s">
        <v>170</v>
      </c>
      <c r="B98" s="20" t="s">
        <v>46</v>
      </c>
      <c r="C98" s="20" t="s">
        <v>47</v>
      </c>
      <c r="D98" s="20" t="s">
        <v>57</v>
      </c>
      <c r="E98" s="20" t="s">
        <v>17</v>
      </c>
      <c r="F98" s="21">
        <v>2453.5500000000002</v>
      </c>
      <c r="G98" s="21">
        <v>385.07</v>
      </c>
      <c r="H98" s="22">
        <v>0.15</v>
      </c>
      <c r="I98" s="20">
        <v>13</v>
      </c>
      <c r="J98" s="23">
        <v>45350</v>
      </c>
      <c r="K98" s="20">
        <v>2</v>
      </c>
      <c r="L98" s="20">
        <v>2024</v>
      </c>
    </row>
    <row r="99" spans="1:12" x14ac:dyDescent="0.3">
      <c r="A99" s="16" t="s">
        <v>171</v>
      </c>
      <c r="B99" s="16" t="s">
        <v>110</v>
      </c>
      <c r="C99" s="16" t="s">
        <v>25</v>
      </c>
      <c r="D99" s="16" t="s">
        <v>30</v>
      </c>
      <c r="E99" s="16" t="s">
        <v>31</v>
      </c>
      <c r="F99" s="17">
        <v>4779.87</v>
      </c>
      <c r="G99" s="17">
        <v>1216.3699999999999</v>
      </c>
      <c r="H99" s="18">
        <v>0.2</v>
      </c>
      <c r="I99" s="16">
        <v>2</v>
      </c>
      <c r="J99" s="19">
        <v>45330</v>
      </c>
      <c r="K99" s="16">
        <v>2</v>
      </c>
      <c r="L99" s="16">
        <v>2024</v>
      </c>
    </row>
    <row r="100" spans="1:12" x14ac:dyDescent="0.3">
      <c r="A100" s="20" t="s">
        <v>172</v>
      </c>
      <c r="B100" s="20" t="s">
        <v>138</v>
      </c>
      <c r="C100" s="20" t="s">
        <v>47</v>
      </c>
      <c r="D100" s="20" t="s">
        <v>26</v>
      </c>
      <c r="E100" s="20" t="s">
        <v>27</v>
      </c>
      <c r="F100" s="21">
        <v>633.82000000000005</v>
      </c>
      <c r="G100" s="21">
        <v>174.67</v>
      </c>
      <c r="H100" s="22">
        <v>0.05</v>
      </c>
      <c r="I100" s="20">
        <v>4</v>
      </c>
      <c r="J100" s="23">
        <v>45008</v>
      </c>
      <c r="K100" s="20">
        <v>3</v>
      </c>
      <c r="L100" s="20">
        <v>2023</v>
      </c>
    </row>
    <row r="101" spans="1:12" x14ac:dyDescent="0.3">
      <c r="A101" s="16" t="s">
        <v>173</v>
      </c>
      <c r="B101" s="16" t="s">
        <v>174</v>
      </c>
      <c r="C101" s="16" t="s">
        <v>15</v>
      </c>
      <c r="D101" s="16" t="s">
        <v>26</v>
      </c>
      <c r="E101" s="16" t="s">
        <v>27</v>
      </c>
      <c r="F101" s="17">
        <v>1757</v>
      </c>
      <c r="G101" s="17">
        <v>289.33</v>
      </c>
      <c r="H101" s="18">
        <v>0.05</v>
      </c>
      <c r="I101" s="16">
        <v>12</v>
      </c>
      <c r="J101" s="19">
        <v>44993</v>
      </c>
      <c r="K101" s="16">
        <v>3</v>
      </c>
      <c r="L101" s="16">
        <v>2023</v>
      </c>
    </row>
    <row r="102" spans="1:12" x14ac:dyDescent="0.3">
      <c r="A102" s="20" t="s">
        <v>175</v>
      </c>
      <c r="B102" s="20" t="s">
        <v>94</v>
      </c>
      <c r="C102" s="20" t="s">
        <v>20</v>
      </c>
      <c r="D102" s="20" t="s">
        <v>16</v>
      </c>
      <c r="E102" s="20" t="s">
        <v>17</v>
      </c>
      <c r="F102" s="21">
        <v>3472.64</v>
      </c>
      <c r="G102" s="21">
        <v>445.35</v>
      </c>
      <c r="H102" s="22">
        <v>0.1</v>
      </c>
      <c r="I102" s="20">
        <v>3</v>
      </c>
      <c r="J102" s="23">
        <v>45493</v>
      </c>
      <c r="K102" s="20">
        <v>7</v>
      </c>
      <c r="L102" s="20">
        <v>2024</v>
      </c>
    </row>
    <row r="103" spans="1:12" x14ac:dyDescent="0.3">
      <c r="A103" s="16" t="s">
        <v>176</v>
      </c>
      <c r="B103" s="16" t="s">
        <v>177</v>
      </c>
      <c r="C103" s="16" t="s">
        <v>20</v>
      </c>
      <c r="D103" s="16" t="s">
        <v>42</v>
      </c>
      <c r="E103" s="16" t="s">
        <v>22</v>
      </c>
      <c r="F103" s="17">
        <v>2999.15</v>
      </c>
      <c r="G103" s="17">
        <v>581.11</v>
      </c>
      <c r="H103" s="18">
        <v>0.1</v>
      </c>
      <c r="I103" s="16">
        <v>9</v>
      </c>
      <c r="J103" s="19">
        <v>45068</v>
      </c>
      <c r="K103" s="16">
        <v>5</v>
      </c>
      <c r="L103" s="16">
        <v>2023</v>
      </c>
    </row>
    <row r="104" spans="1:12" x14ac:dyDescent="0.3">
      <c r="A104" s="20" t="s">
        <v>178</v>
      </c>
      <c r="B104" s="20" t="s">
        <v>112</v>
      </c>
      <c r="C104" s="20" t="s">
        <v>20</v>
      </c>
      <c r="D104" s="20" t="s">
        <v>48</v>
      </c>
      <c r="E104" s="20" t="s">
        <v>31</v>
      </c>
      <c r="F104" s="21">
        <v>1580.63</v>
      </c>
      <c r="G104" s="21">
        <v>165.37</v>
      </c>
      <c r="H104" s="22">
        <v>0.25</v>
      </c>
      <c r="I104" s="20">
        <v>15</v>
      </c>
      <c r="J104" s="23">
        <v>45209</v>
      </c>
      <c r="K104" s="20">
        <v>10</v>
      </c>
      <c r="L104" s="20">
        <v>2023</v>
      </c>
    </row>
    <row r="105" spans="1:12" x14ac:dyDescent="0.3">
      <c r="A105" s="16" t="s">
        <v>179</v>
      </c>
      <c r="B105" s="16" t="s">
        <v>117</v>
      </c>
      <c r="C105" s="16" t="s">
        <v>41</v>
      </c>
      <c r="D105" s="16" t="s">
        <v>57</v>
      </c>
      <c r="E105" s="16" t="s">
        <v>17</v>
      </c>
      <c r="F105" s="17">
        <v>4257.46</v>
      </c>
      <c r="G105" s="17">
        <v>1340.5</v>
      </c>
      <c r="H105" s="18">
        <v>0.1</v>
      </c>
      <c r="I105" s="16">
        <v>16</v>
      </c>
      <c r="J105" s="19">
        <v>44664</v>
      </c>
      <c r="K105" s="16">
        <v>4</v>
      </c>
      <c r="L105" s="16">
        <v>2022</v>
      </c>
    </row>
    <row r="106" spans="1:12" x14ac:dyDescent="0.3">
      <c r="A106" s="20" t="s">
        <v>180</v>
      </c>
      <c r="B106" s="20" t="s">
        <v>94</v>
      </c>
      <c r="C106" s="20" t="s">
        <v>41</v>
      </c>
      <c r="D106" s="20" t="s">
        <v>34</v>
      </c>
      <c r="E106" s="20" t="s">
        <v>35</v>
      </c>
      <c r="F106" s="21">
        <v>1620.19</v>
      </c>
      <c r="G106" s="21">
        <v>145.27000000000001</v>
      </c>
      <c r="H106" s="22">
        <v>0.15</v>
      </c>
      <c r="I106" s="20">
        <v>13</v>
      </c>
      <c r="J106" s="23">
        <v>44945</v>
      </c>
      <c r="K106" s="20">
        <v>1</v>
      </c>
      <c r="L106" s="20">
        <v>2023</v>
      </c>
    </row>
    <row r="107" spans="1:12" x14ac:dyDescent="0.3">
      <c r="A107" s="16" t="s">
        <v>181</v>
      </c>
      <c r="B107" s="16" t="s">
        <v>138</v>
      </c>
      <c r="C107" s="16" t="s">
        <v>25</v>
      </c>
      <c r="D107" s="16" t="s">
        <v>48</v>
      </c>
      <c r="E107" s="16" t="s">
        <v>31</v>
      </c>
      <c r="F107" s="17">
        <v>2584.29</v>
      </c>
      <c r="G107" s="17">
        <v>645.66999999999996</v>
      </c>
      <c r="H107" s="18">
        <v>0.15</v>
      </c>
      <c r="I107" s="16">
        <v>8</v>
      </c>
      <c r="J107" s="19">
        <v>45451</v>
      </c>
      <c r="K107" s="16">
        <v>6</v>
      </c>
      <c r="L107" s="16">
        <v>2024</v>
      </c>
    </row>
    <row r="108" spans="1:12" x14ac:dyDescent="0.3">
      <c r="A108" s="20" t="s">
        <v>182</v>
      </c>
      <c r="B108" s="20" t="s">
        <v>63</v>
      </c>
      <c r="C108" s="20" t="s">
        <v>25</v>
      </c>
      <c r="D108" s="20" t="s">
        <v>42</v>
      </c>
      <c r="E108" s="20" t="s">
        <v>22</v>
      </c>
      <c r="F108" s="21">
        <v>3453.27</v>
      </c>
      <c r="G108" s="21">
        <v>798.93</v>
      </c>
      <c r="H108" s="22">
        <v>0.1</v>
      </c>
      <c r="I108" s="20">
        <v>2</v>
      </c>
      <c r="J108" s="23">
        <v>45140</v>
      </c>
      <c r="K108" s="20">
        <v>8</v>
      </c>
      <c r="L108" s="20">
        <v>2023</v>
      </c>
    </row>
    <row r="109" spans="1:12" x14ac:dyDescent="0.3">
      <c r="A109" s="16" t="s">
        <v>183</v>
      </c>
      <c r="B109" s="16" t="s">
        <v>141</v>
      </c>
      <c r="C109" s="16" t="s">
        <v>41</v>
      </c>
      <c r="D109" s="16" t="s">
        <v>34</v>
      </c>
      <c r="E109" s="16" t="s">
        <v>35</v>
      </c>
      <c r="F109" s="17">
        <v>830.78</v>
      </c>
      <c r="G109" s="17">
        <v>128.30000000000001</v>
      </c>
      <c r="H109" s="18">
        <v>0.15</v>
      </c>
      <c r="I109" s="16">
        <v>14</v>
      </c>
      <c r="J109" s="19">
        <v>44656</v>
      </c>
      <c r="K109" s="16">
        <v>4</v>
      </c>
      <c r="L109" s="16">
        <v>2022</v>
      </c>
    </row>
    <row r="110" spans="1:12" x14ac:dyDescent="0.3">
      <c r="A110" s="20" t="s">
        <v>184</v>
      </c>
      <c r="B110" s="20" t="s">
        <v>89</v>
      </c>
      <c r="C110" s="20" t="s">
        <v>41</v>
      </c>
      <c r="D110" s="20" t="s">
        <v>16</v>
      </c>
      <c r="E110" s="20" t="s">
        <v>17</v>
      </c>
      <c r="F110" s="21">
        <v>2608.61</v>
      </c>
      <c r="G110" s="21">
        <v>682.09</v>
      </c>
      <c r="H110" s="22">
        <v>0.15</v>
      </c>
      <c r="I110" s="20">
        <v>9</v>
      </c>
      <c r="J110" s="23">
        <v>45070</v>
      </c>
      <c r="K110" s="20">
        <v>5</v>
      </c>
      <c r="L110" s="20">
        <v>2023</v>
      </c>
    </row>
    <row r="111" spans="1:12" x14ac:dyDescent="0.3">
      <c r="A111" s="16" t="s">
        <v>185</v>
      </c>
      <c r="B111" s="16" t="s">
        <v>117</v>
      </c>
      <c r="C111" s="16" t="s">
        <v>15</v>
      </c>
      <c r="D111" s="16" t="s">
        <v>30</v>
      </c>
      <c r="E111" s="16" t="s">
        <v>31</v>
      </c>
      <c r="F111" s="17">
        <v>4821.8900000000003</v>
      </c>
      <c r="G111" s="17">
        <v>1252.17</v>
      </c>
      <c r="H111" s="18">
        <v>0.1</v>
      </c>
      <c r="I111" s="16">
        <v>8</v>
      </c>
      <c r="J111" s="19">
        <v>45648</v>
      </c>
      <c r="K111" s="16">
        <v>12</v>
      </c>
      <c r="L111" s="16">
        <v>2024</v>
      </c>
    </row>
    <row r="112" spans="1:12" x14ac:dyDescent="0.3">
      <c r="A112" s="20" t="s">
        <v>186</v>
      </c>
      <c r="B112" s="20" t="s">
        <v>160</v>
      </c>
      <c r="C112" s="20" t="s">
        <v>25</v>
      </c>
      <c r="D112" s="20" t="s">
        <v>57</v>
      </c>
      <c r="E112" s="20" t="s">
        <v>17</v>
      </c>
      <c r="F112" s="21">
        <v>633.45000000000005</v>
      </c>
      <c r="G112" s="21">
        <v>52.44</v>
      </c>
      <c r="H112" s="22">
        <v>0.2</v>
      </c>
      <c r="I112" s="20">
        <v>18</v>
      </c>
      <c r="J112" s="23">
        <v>44785</v>
      </c>
      <c r="K112" s="20">
        <v>8</v>
      </c>
      <c r="L112" s="20">
        <v>2022</v>
      </c>
    </row>
    <row r="113" spans="1:12" x14ac:dyDescent="0.3">
      <c r="A113" s="16" t="s">
        <v>187</v>
      </c>
      <c r="B113" s="16" t="s">
        <v>110</v>
      </c>
      <c r="C113" s="16" t="s">
        <v>25</v>
      </c>
      <c r="D113" s="16" t="s">
        <v>26</v>
      </c>
      <c r="E113" s="16" t="s">
        <v>27</v>
      </c>
      <c r="F113" s="17">
        <v>4147.6000000000004</v>
      </c>
      <c r="G113" s="17">
        <v>448.04</v>
      </c>
      <c r="H113" s="18">
        <v>0.15</v>
      </c>
      <c r="I113" s="16">
        <v>8</v>
      </c>
      <c r="J113" s="19">
        <v>44946</v>
      </c>
      <c r="K113" s="16">
        <v>1</v>
      </c>
      <c r="L113" s="16">
        <v>2023</v>
      </c>
    </row>
    <row r="114" spans="1:12" x14ac:dyDescent="0.3">
      <c r="A114" s="20" t="s">
        <v>188</v>
      </c>
      <c r="B114" s="20" t="s">
        <v>177</v>
      </c>
      <c r="C114" s="20" t="s">
        <v>41</v>
      </c>
      <c r="D114" s="20" t="s">
        <v>16</v>
      </c>
      <c r="E114" s="20" t="s">
        <v>17</v>
      </c>
      <c r="F114" s="21">
        <v>3128.39</v>
      </c>
      <c r="G114" s="21">
        <v>769.3</v>
      </c>
      <c r="H114" s="22">
        <v>0.05</v>
      </c>
      <c r="I114" s="20">
        <v>15</v>
      </c>
      <c r="J114" s="23">
        <v>45433</v>
      </c>
      <c r="K114" s="20">
        <v>5</v>
      </c>
      <c r="L114" s="20">
        <v>2024</v>
      </c>
    </row>
    <row r="115" spans="1:12" x14ac:dyDescent="0.3">
      <c r="A115" s="16" t="s">
        <v>189</v>
      </c>
      <c r="B115" s="16" t="s">
        <v>50</v>
      </c>
      <c r="C115" s="16" t="s">
        <v>15</v>
      </c>
      <c r="D115" s="16" t="s">
        <v>57</v>
      </c>
      <c r="E115" s="16" t="s">
        <v>17</v>
      </c>
      <c r="F115" s="17">
        <v>417.66</v>
      </c>
      <c r="G115" s="17">
        <v>69.87</v>
      </c>
      <c r="H115" s="18">
        <v>0.05</v>
      </c>
      <c r="I115" s="16">
        <v>16</v>
      </c>
      <c r="J115" s="19">
        <v>44600</v>
      </c>
      <c r="K115" s="16">
        <v>2</v>
      </c>
      <c r="L115" s="16">
        <v>2022</v>
      </c>
    </row>
    <row r="116" spans="1:12" x14ac:dyDescent="0.3">
      <c r="A116" s="20" t="s">
        <v>190</v>
      </c>
      <c r="B116" s="20" t="s">
        <v>110</v>
      </c>
      <c r="C116" s="20" t="s">
        <v>47</v>
      </c>
      <c r="D116" s="20" t="s">
        <v>16</v>
      </c>
      <c r="E116" s="20" t="s">
        <v>17</v>
      </c>
      <c r="F116" s="21">
        <v>2377.4899999999998</v>
      </c>
      <c r="G116" s="21">
        <v>365.15</v>
      </c>
      <c r="H116" s="22">
        <v>0.25</v>
      </c>
      <c r="I116" s="20">
        <v>5</v>
      </c>
      <c r="J116" s="23">
        <v>45234</v>
      </c>
      <c r="K116" s="20">
        <v>11</v>
      </c>
      <c r="L116" s="20">
        <v>2023</v>
      </c>
    </row>
    <row r="117" spans="1:12" x14ac:dyDescent="0.3">
      <c r="A117" s="16" t="s">
        <v>191</v>
      </c>
      <c r="B117" s="16" t="s">
        <v>114</v>
      </c>
      <c r="C117" s="16" t="s">
        <v>25</v>
      </c>
      <c r="D117" s="16" t="s">
        <v>38</v>
      </c>
      <c r="E117" s="16" t="s">
        <v>22</v>
      </c>
      <c r="F117" s="17">
        <v>4707.45</v>
      </c>
      <c r="G117" s="17">
        <v>432.86</v>
      </c>
      <c r="H117" s="18">
        <v>0.15</v>
      </c>
      <c r="I117" s="16">
        <v>12</v>
      </c>
      <c r="J117" s="19">
        <v>44788</v>
      </c>
      <c r="K117" s="16">
        <v>8</v>
      </c>
      <c r="L117" s="16">
        <v>2022</v>
      </c>
    </row>
    <row r="118" spans="1:12" x14ac:dyDescent="0.3">
      <c r="A118" s="20" t="s">
        <v>192</v>
      </c>
      <c r="B118" s="20" t="s">
        <v>123</v>
      </c>
      <c r="C118" s="20" t="s">
        <v>41</v>
      </c>
      <c r="D118" s="20" t="s">
        <v>42</v>
      </c>
      <c r="E118" s="20" t="s">
        <v>22</v>
      </c>
      <c r="F118" s="21">
        <v>4908.45</v>
      </c>
      <c r="G118" s="21">
        <v>985.12</v>
      </c>
      <c r="H118" s="22">
        <v>0.15</v>
      </c>
      <c r="I118" s="20">
        <v>12</v>
      </c>
      <c r="J118" s="23">
        <v>44751</v>
      </c>
      <c r="K118" s="20">
        <v>7</v>
      </c>
      <c r="L118" s="20">
        <v>2022</v>
      </c>
    </row>
    <row r="119" spans="1:12" x14ac:dyDescent="0.3">
      <c r="A119" s="16" t="s">
        <v>193</v>
      </c>
      <c r="B119" s="16" t="s">
        <v>129</v>
      </c>
      <c r="C119" s="16" t="s">
        <v>15</v>
      </c>
      <c r="D119" s="16" t="s">
        <v>42</v>
      </c>
      <c r="E119" s="16" t="s">
        <v>22</v>
      </c>
      <c r="F119" s="17">
        <v>4156.12</v>
      </c>
      <c r="G119" s="17">
        <v>1049.04</v>
      </c>
      <c r="H119" s="18">
        <v>0.05</v>
      </c>
      <c r="I119" s="16">
        <v>20</v>
      </c>
      <c r="J119" s="19">
        <v>44587</v>
      </c>
      <c r="K119" s="16">
        <v>1</v>
      </c>
      <c r="L119" s="16">
        <v>2022</v>
      </c>
    </row>
    <row r="120" spans="1:12" x14ac:dyDescent="0.3">
      <c r="A120" s="20" t="s">
        <v>194</v>
      </c>
      <c r="B120" s="20" t="s">
        <v>50</v>
      </c>
      <c r="C120" s="20" t="s">
        <v>47</v>
      </c>
      <c r="D120" s="20" t="s">
        <v>30</v>
      </c>
      <c r="E120" s="20" t="s">
        <v>31</v>
      </c>
      <c r="F120" s="21">
        <v>3977.49</v>
      </c>
      <c r="G120" s="21">
        <v>419.38</v>
      </c>
      <c r="H120" s="22">
        <v>0.1</v>
      </c>
      <c r="I120" s="20">
        <v>18</v>
      </c>
      <c r="J120" s="23">
        <v>44841</v>
      </c>
      <c r="K120" s="20">
        <v>10</v>
      </c>
      <c r="L120" s="20">
        <v>2022</v>
      </c>
    </row>
    <row r="121" spans="1:12" x14ac:dyDescent="0.3">
      <c r="A121" s="16" t="s">
        <v>195</v>
      </c>
      <c r="B121" s="16" t="s">
        <v>46</v>
      </c>
      <c r="C121" s="16" t="s">
        <v>41</v>
      </c>
      <c r="D121" s="16" t="s">
        <v>42</v>
      </c>
      <c r="E121" s="16" t="s">
        <v>22</v>
      </c>
      <c r="F121" s="17">
        <v>908.26</v>
      </c>
      <c r="G121" s="17">
        <v>68.599999999999994</v>
      </c>
      <c r="H121" s="18">
        <v>0.25</v>
      </c>
      <c r="I121" s="16">
        <v>5</v>
      </c>
      <c r="J121" s="19">
        <v>44813</v>
      </c>
      <c r="K121" s="16">
        <v>9</v>
      </c>
      <c r="L121" s="16">
        <v>2022</v>
      </c>
    </row>
    <row r="122" spans="1:12" x14ac:dyDescent="0.3">
      <c r="A122" s="20" t="s">
        <v>196</v>
      </c>
      <c r="B122" s="20" t="s">
        <v>52</v>
      </c>
      <c r="C122" s="20" t="s">
        <v>15</v>
      </c>
      <c r="D122" s="20" t="s">
        <v>21</v>
      </c>
      <c r="E122" s="20" t="s">
        <v>22</v>
      </c>
      <c r="F122" s="21">
        <v>4358.95</v>
      </c>
      <c r="G122" s="21">
        <v>406.88</v>
      </c>
      <c r="H122" s="22">
        <v>0.1</v>
      </c>
      <c r="I122" s="20">
        <v>8</v>
      </c>
      <c r="J122" s="23">
        <v>45444</v>
      </c>
      <c r="K122" s="20">
        <v>6</v>
      </c>
      <c r="L122" s="20">
        <v>2024</v>
      </c>
    </row>
    <row r="123" spans="1:12" x14ac:dyDescent="0.3">
      <c r="A123" s="16" t="s">
        <v>197</v>
      </c>
      <c r="B123" s="16" t="s">
        <v>63</v>
      </c>
      <c r="C123" s="16" t="s">
        <v>41</v>
      </c>
      <c r="D123" s="16" t="s">
        <v>21</v>
      </c>
      <c r="E123" s="16" t="s">
        <v>22</v>
      </c>
      <c r="F123" s="17">
        <v>808.44</v>
      </c>
      <c r="G123" s="17">
        <v>149.74</v>
      </c>
      <c r="H123" s="18">
        <v>0.2</v>
      </c>
      <c r="I123" s="16">
        <v>3</v>
      </c>
      <c r="J123" s="19">
        <v>45163</v>
      </c>
      <c r="K123" s="16">
        <v>8</v>
      </c>
      <c r="L123" s="16">
        <v>2023</v>
      </c>
    </row>
    <row r="124" spans="1:12" x14ac:dyDescent="0.3">
      <c r="A124" s="20" t="s">
        <v>198</v>
      </c>
      <c r="B124" s="20" t="s">
        <v>77</v>
      </c>
      <c r="C124" s="20" t="s">
        <v>25</v>
      </c>
      <c r="D124" s="20" t="s">
        <v>30</v>
      </c>
      <c r="E124" s="20" t="s">
        <v>31</v>
      </c>
      <c r="F124" s="21">
        <v>723.46</v>
      </c>
      <c r="G124" s="21">
        <v>84.31</v>
      </c>
      <c r="H124" s="22">
        <v>0.25</v>
      </c>
      <c r="I124" s="20">
        <v>20</v>
      </c>
      <c r="J124" s="23">
        <v>44921</v>
      </c>
      <c r="K124" s="20">
        <v>12</v>
      </c>
      <c r="L124" s="20">
        <v>2022</v>
      </c>
    </row>
    <row r="125" spans="1:12" x14ac:dyDescent="0.3">
      <c r="A125" s="16" t="s">
        <v>199</v>
      </c>
      <c r="B125" s="16" t="s">
        <v>117</v>
      </c>
      <c r="C125" s="16" t="s">
        <v>41</v>
      </c>
      <c r="D125" s="16" t="s">
        <v>16</v>
      </c>
      <c r="E125" s="16" t="s">
        <v>17</v>
      </c>
      <c r="F125" s="17">
        <v>3288.04</v>
      </c>
      <c r="G125" s="17">
        <v>359.86</v>
      </c>
      <c r="H125" s="18">
        <v>0.05</v>
      </c>
      <c r="I125" s="16">
        <v>16</v>
      </c>
      <c r="J125" s="19">
        <v>45129</v>
      </c>
      <c r="K125" s="16">
        <v>7</v>
      </c>
      <c r="L125" s="16">
        <v>2023</v>
      </c>
    </row>
    <row r="126" spans="1:12" x14ac:dyDescent="0.3">
      <c r="A126" s="20" t="s">
        <v>200</v>
      </c>
      <c r="B126" s="20" t="s">
        <v>101</v>
      </c>
      <c r="C126" s="20" t="s">
        <v>20</v>
      </c>
      <c r="D126" s="20" t="s">
        <v>53</v>
      </c>
      <c r="E126" s="20" t="s">
        <v>31</v>
      </c>
      <c r="F126" s="21">
        <v>4566.5600000000004</v>
      </c>
      <c r="G126" s="21">
        <v>1409.13</v>
      </c>
      <c r="H126" s="22">
        <v>0.05</v>
      </c>
      <c r="I126" s="20">
        <v>11</v>
      </c>
      <c r="J126" s="23">
        <v>45354</v>
      </c>
      <c r="K126" s="20">
        <v>3</v>
      </c>
      <c r="L126" s="20">
        <v>2024</v>
      </c>
    </row>
    <row r="127" spans="1:12" x14ac:dyDescent="0.3">
      <c r="A127" s="16" t="s">
        <v>201</v>
      </c>
      <c r="B127" s="16" t="s">
        <v>202</v>
      </c>
      <c r="C127" s="16" t="s">
        <v>41</v>
      </c>
      <c r="D127" s="16" t="s">
        <v>21</v>
      </c>
      <c r="E127" s="16" t="s">
        <v>22</v>
      </c>
      <c r="F127" s="17">
        <v>3238.77</v>
      </c>
      <c r="G127" s="17">
        <v>675.38</v>
      </c>
      <c r="H127" s="18">
        <v>0.25</v>
      </c>
      <c r="I127" s="16">
        <v>13</v>
      </c>
      <c r="J127" s="19">
        <v>45545</v>
      </c>
      <c r="K127" s="16">
        <v>9</v>
      </c>
      <c r="L127" s="16">
        <v>2024</v>
      </c>
    </row>
    <row r="128" spans="1:12" x14ac:dyDescent="0.3">
      <c r="A128" s="20" t="s">
        <v>203</v>
      </c>
      <c r="B128" s="20" t="s">
        <v>24</v>
      </c>
      <c r="C128" s="20" t="s">
        <v>25</v>
      </c>
      <c r="D128" s="20" t="s">
        <v>38</v>
      </c>
      <c r="E128" s="20" t="s">
        <v>22</v>
      </c>
      <c r="F128" s="21">
        <v>2264.96</v>
      </c>
      <c r="G128" s="21">
        <v>673.91</v>
      </c>
      <c r="H128" s="22">
        <v>0.05</v>
      </c>
      <c r="I128" s="20">
        <v>18</v>
      </c>
      <c r="J128" s="23">
        <v>45396</v>
      </c>
      <c r="K128" s="20">
        <v>4</v>
      </c>
      <c r="L128" s="20">
        <v>2024</v>
      </c>
    </row>
    <row r="129" spans="1:12" x14ac:dyDescent="0.3">
      <c r="A129" s="16" t="s">
        <v>204</v>
      </c>
      <c r="B129" s="16" t="s">
        <v>114</v>
      </c>
      <c r="C129" s="16" t="s">
        <v>47</v>
      </c>
      <c r="D129" s="16" t="s">
        <v>38</v>
      </c>
      <c r="E129" s="16" t="s">
        <v>22</v>
      </c>
      <c r="F129" s="17">
        <v>1826.87</v>
      </c>
      <c r="G129" s="17">
        <v>291.83999999999997</v>
      </c>
      <c r="H129" s="18">
        <v>0.2</v>
      </c>
      <c r="I129" s="16">
        <v>4</v>
      </c>
      <c r="J129" s="19">
        <v>45118</v>
      </c>
      <c r="K129" s="16">
        <v>7</v>
      </c>
      <c r="L129" s="16">
        <v>2023</v>
      </c>
    </row>
    <row r="130" spans="1:12" x14ac:dyDescent="0.3">
      <c r="A130" s="20" t="s">
        <v>205</v>
      </c>
      <c r="B130" s="20" t="s">
        <v>61</v>
      </c>
      <c r="C130" s="20" t="s">
        <v>41</v>
      </c>
      <c r="D130" s="20" t="s">
        <v>26</v>
      </c>
      <c r="E130" s="20" t="s">
        <v>27</v>
      </c>
      <c r="F130" s="21">
        <v>3496.74</v>
      </c>
      <c r="G130" s="21">
        <v>326.69</v>
      </c>
      <c r="H130" s="22">
        <v>0.2</v>
      </c>
      <c r="I130" s="20">
        <v>3</v>
      </c>
      <c r="J130" s="23">
        <v>44746</v>
      </c>
      <c r="K130" s="20">
        <v>7</v>
      </c>
      <c r="L130" s="20">
        <v>2022</v>
      </c>
    </row>
    <row r="131" spans="1:12" x14ac:dyDescent="0.3">
      <c r="A131" s="16" t="s">
        <v>206</v>
      </c>
      <c r="B131" s="16" t="s">
        <v>24</v>
      </c>
      <c r="C131" s="16" t="s">
        <v>47</v>
      </c>
      <c r="D131" s="16" t="s">
        <v>30</v>
      </c>
      <c r="E131" s="16" t="s">
        <v>31</v>
      </c>
      <c r="F131" s="17">
        <v>487.91</v>
      </c>
      <c r="G131" s="17">
        <v>87.98</v>
      </c>
      <c r="H131" s="18">
        <v>0.25</v>
      </c>
      <c r="I131" s="16">
        <v>4</v>
      </c>
      <c r="J131" s="19">
        <v>45105</v>
      </c>
      <c r="K131" s="16">
        <v>6</v>
      </c>
      <c r="L131" s="16">
        <v>2023</v>
      </c>
    </row>
    <row r="132" spans="1:12" x14ac:dyDescent="0.3">
      <c r="A132" s="20" t="s">
        <v>207</v>
      </c>
      <c r="B132" s="20" t="s">
        <v>98</v>
      </c>
      <c r="C132" s="20" t="s">
        <v>15</v>
      </c>
      <c r="D132" s="20" t="s">
        <v>57</v>
      </c>
      <c r="E132" s="20" t="s">
        <v>17</v>
      </c>
      <c r="F132" s="21">
        <v>3081.97</v>
      </c>
      <c r="G132" s="21">
        <v>329.82</v>
      </c>
      <c r="H132" s="22">
        <v>0.15</v>
      </c>
      <c r="I132" s="20">
        <v>17</v>
      </c>
      <c r="J132" s="23">
        <v>44642</v>
      </c>
      <c r="K132" s="20">
        <v>3</v>
      </c>
      <c r="L132" s="20">
        <v>2022</v>
      </c>
    </row>
    <row r="133" spans="1:12" x14ac:dyDescent="0.3">
      <c r="A133" s="16" t="s">
        <v>208</v>
      </c>
      <c r="B133" s="16" t="s">
        <v>129</v>
      </c>
      <c r="C133" s="16" t="s">
        <v>47</v>
      </c>
      <c r="D133" s="16" t="s">
        <v>38</v>
      </c>
      <c r="E133" s="16" t="s">
        <v>22</v>
      </c>
      <c r="F133" s="17">
        <v>719.45</v>
      </c>
      <c r="G133" s="17">
        <v>103.54</v>
      </c>
      <c r="H133" s="18">
        <v>0.25</v>
      </c>
      <c r="I133" s="16">
        <v>9</v>
      </c>
      <c r="J133" s="19">
        <v>45408</v>
      </c>
      <c r="K133" s="16">
        <v>4</v>
      </c>
      <c r="L133" s="16">
        <v>2024</v>
      </c>
    </row>
    <row r="134" spans="1:12" x14ac:dyDescent="0.3">
      <c r="A134" s="20" t="s">
        <v>209</v>
      </c>
      <c r="B134" s="20" t="s">
        <v>46</v>
      </c>
      <c r="C134" s="20" t="s">
        <v>25</v>
      </c>
      <c r="D134" s="20" t="s">
        <v>57</v>
      </c>
      <c r="E134" s="20" t="s">
        <v>17</v>
      </c>
      <c r="F134" s="21">
        <v>4128.45</v>
      </c>
      <c r="G134" s="21">
        <v>832.12</v>
      </c>
      <c r="H134" s="22">
        <v>0.25</v>
      </c>
      <c r="I134" s="20">
        <v>18</v>
      </c>
      <c r="J134" s="23">
        <v>44856</v>
      </c>
      <c r="K134" s="20">
        <v>10</v>
      </c>
      <c r="L134" s="20">
        <v>2022</v>
      </c>
    </row>
    <row r="135" spans="1:12" x14ac:dyDescent="0.3">
      <c r="A135" s="16" t="s">
        <v>210</v>
      </c>
      <c r="B135" s="16" t="s">
        <v>131</v>
      </c>
      <c r="C135" s="16" t="s">
        <v>15</v>
      </c>
      <c r="D135" s="16" t="s">
        <v>26</v>
      </c>
      <c r="E135" s="16" t="s">
        <v>27</v>
      </c>
      <c r="F135" s="17">
        <v>1511.7</v>
      </c>
      <c r="G135" s="17">
        <v>424.53</v>
      </c>
      <c r="H135" s="18">
        <v>0.15</v>
      </c>
      <c r="I135" s="16">
        <v>12</v>
      </c>
      <c r="J135" s="19">
        <v>44648</v>
      </c>
      <c r="K135" s="16">
        <v>3</v>
      </c>
      <c r="L135" s="16">
        <v>2022</v>
      </c>
    </row>
    <row r="136" spans="1:12" x14ac:dyDescent="0.3">
      <c r="A136" s="20" t="s">
        <v>211</v>
      </c>
      <c r="B136" s="20" t="s">
        <v>52</v>
      </c>
      <c r="C136" s="20" t="s">
        <v>25</v>
      </c>
      <c r="D136" s="20" t="s">
        <v>21</v>
      </c>
      <c r="E136" s="20" t="s">
        <v>22</v>
      </c>
      <c r="F136" s="21">
        <v>2123.7600000000002</v>
      </c>
      <c r="G136" s="21">
        <v>545.21</v>
      </c>
      <c r="H136" s="22">
        <v>0.1</v>
      </c>
      <c r="I136" s="20">
        <v>1</v>
      </c>
      <c r="J136" s="23">
        <v>44912</v>
      </c>
      <c r="K136" s="20">
        <v>12</v>
      </c>
      <c r="L136" s="20">
        <v>2022</v>
      </c>
    </row>
    <row r="137" spans="1:12" x14ac:dyDescent="0.3">
      <c r="A137" s="16" t="s">
        <v>212</v>
      </c>
      <c r="B137" s="16" t="s">
        <v>114</v>
      </c>
      <c r="C137" s="16" t="s">
        <v>20</v>
      </c>
      <c r="D137" s="16" t="s">
        <v>42</v>
      </c>
      <c r="E137" s="16" t="s">
        <v>22</v>
      </c>
      <c r="F137" s="17">
        <v>2377.5</v>
      </c>
      <c r="G137" s="17">
        <v>411.93</v>
      </c>
      <c r="H137" s="18">
        <v>0.1</v>
      </c>
      <c r="I137" s="16">
        <v>11</v>
      </c>
      <c r="J137" s="19">
        <v>45568</v>
      </c>
      <c r="K137" s="16">
        <v>10</v>
      </c>
      <c r="L137" s="16">
        <v>2024</v>
      </c>
    </row>
    <row r="138" spans="1:12" x14ac:dyDescent="0.3">
      <c r="A138" s="20" t="s">
        <v>213</v>
      </c>
      <c r="B138" s="20" t="s">
        <v>37</v>
      </c>
      <c r="C138" s="20" t="s">
        <v>47</v>
      </c>
      <c r="D138" s="20" t="s">
        <v>48</v>
      </c>
      <c r="E138" s="20" t="s">
        <v>31</v>
      </c>
      <c r="F138" s="21">
        <v>3821.29</v>
      </c>
      <c r="G138" s="21">
        <v>974.69</v>
      </c>
      <c r="H138" s="22">
        <v>0.05</v>
      </c>
      <c r="I138" s="20">
        <v>9</v>
      </c>
      <c r="J138" s="23">
        <v>45244</v>
      </c>
      <c r="K138" s="20">
        <v>11</v>
      </c>
      <c r="L138" s="20">
        <v>2023</v>
      </c>
    </row>
    <row r="139" spans="1:12" x14ac:dyDescent="0.3">
      <c r="A139" s="16" t="s">
        <v>214</v>
      </c>
      <c r="B139" s="16" t="s">
        <v>69</v>
      </c>
      <c r="C139" s="16" t="s">
        <v>25</v>
      </c>
      <c r="D139" s="16" t="s">
        <v>38</v>
      </c>
      <c r="E139" s="16" t="s">
        <v>22</v>
      </c>
      <c r="F139" s="17">
        <v>2188.08</v>
      </c>
      <c r="G139" s="17">
        <v>568.6</v>
      </c>
      <c r="H139" s="18">
        <v>0.1</v>
      </c>
      <c r="I139" s="16">
        <v>4</v>
      </c>
      <c r="J139" s="19">
        <v>45111</v>
      </c>
      <c r="K139" s="16">
        <v>7</v>
      </c>
      <c r="L139" s="16">
        <v>2023</v>
      </c>
    </row>
    <row r="140" spans="1:12" x14ac:dyDescent="0.3">
      <c r="A140" s="20" t="s">
        <v>215</v>
      </c>
      <c r="B140" s="20" t="s">
        <v>216</v>
      </c>
      <c r="C140" s="20" t="s">
        <v>25</v>
      </c>
      <c r="D140" s="20" t="s">
        <v>26</v>
      </c>
      <c r="E140" s="20" t="s">
        <v>27</v>
      </c>
      <c r="F140" s="21">
        <v>2729.28</v>
      </c>
      <c r="G140" s="21">
        <v>258.33</v>
      </c>
      <c r="H140" s="22">
        <v>0.15</v>
      </c>
      <c r="I140" s="20">
        <v>13</v>
      </c>
      <c r="J140" s="23">
        <v>45292</v>
      </c>
      <c r="K140" s="20">
        <v>1</v>
      </c>
      <c r="L140" s="20">
        <v>2024</v>
      </c>
    </row>
    <row r="141" spans="1:12" x14ac:dyDescent="0.3">
      <c r="A141" s="16" t="s">
        <v>217</v>
      </c>
      <c r="B141" s="16" t="s">
        <v>218</v>
      </c>
      <c r="C141" s="16" t="s">
        <v>41</v>
      </c>
      <c r="D141" s="16" t="s">
        <v>42</v>
      </c>
      <c r="E141" s="16" t="s">
        <v>22</v>
      </c>
      <c r="F141" s="17">
        <v>3883.28</v>
      </c>
      <c r="G141" s="17">
        <v>568.92999999999995</v>
      </c>
      <c r="H141" s="18">
        <v>0.15</v>
      </c>
      <c r="I141" s="16">
        <v>4</v>
      </c>
      <c r="J141" s="19">
        <v>44797</v>
      </c>
      <c r="K141" s="16">
        <v>8</v>
      </c>
      <c r="L141" s="16">
        <v>2022</v>
      </c>
    </row>
    <row r="142" spans="1:12" x14ac:dyDescent="0.3">
      <c r="A142" s="20" t="s">
        <v>219</v>
      </c>
      <c r="B142" s="20" t="s">
        <v>50</v>
      </c>
      <c r="C142" s="20" t="s">
        <v>47</v>
      </c>
      <c r="D142" s="20" t="s">
        <v>57</v>
      </c>
      <c r="E142" s="20" t="s">
        <v>17</v>
      </c>
      <c r="F142" s="21">
        <v>2025</v>
      </c>
      <c r="G142" s="21">
        <v>410.18</v>
      </c>
      <c r="H142" s="22">
        <v>0.1</v>
      </c>
      <c r="I142" s="20">
        <v>12</v>
      </c>
      <c r="J142" s="23">
        <v>44770</v>
      </c>
      <c r="K142" s="20">
        <v>7</v>
      </c>
      <c r="L142" s="20">
        <v>2022</v>
      </c>
    </row>
    <row r="143" spans="1:12" x14ac:dyDescent="0.3">
      <c r="A143" s="16" t="s">
        <v>220</v>
      </c>
      <c r="B143" s="16" t="s">
        <v>29</v>
      </c>
      <c r="C143" s="16" t="s">
        <v>20</v>
      </c>
      <c r="D143" s="16" t="s">
        <v>48</v>
      </c>
      <c r="E143" s="16" t="s">
        <v>31</v>
      </c>
      <c r="F143" s="17">
        <v>2406.8200000000002</v>
      </c>
      <c r="G143" s="17">
        <v>721.45</v>
      </c>
      <c r="H143" s="18">
        <v>0.05</v>
      </c>
      <c r="I143" s="16">
        <v>19</v>
      </c>
      <c r="J143" s="19">
        <v>45212</v>
      </c>
      <c r="K143" s="16">
        <v>10</v>
      </c>
      <c r="L143" s="16">
        <v>2023</v>
      </c>
    </row>
    <row r="144" spans="1:12" x14ac:dyDescent="0.3">
      <c r="A144" s="20" t="s">
        <v>221</v>
      </c>
      <c r="B144" s="20" t="s">
        <v>222</v>
      </c>
      <c r="C144" s="20" t="s">
        <v>41</v>
      </c>
      <c r="D144" s="20" t="s">
        <v>57</v>
      </c>
      <c r="E144" s="20" t="s">
        <v>17</v>
      </c>
      <c r="F144" s="21">
        <v>2144.16</v>
      </c>
      <c r="G144" s="21">
        <v>260.56</v>
      </c>
      <c r="H144" s="22">
        <v>0.15</v>
      </c>
      <c r="I144" s="20">
        <v>20</v>
      </c>
      <c r="J144" s="23">
        <v>45272</v>
      </c>
      <c r="K144" s="20">
        <v>12</v>
      </c>
      <c r="L144" s="20">
        <v>2023</v>
      </c>
    </row>
    <row r="145" spans="1:12" x14ac:dyDescent="0.3">
      <c r="A145" s="16" t="s">
        <v>223</v>
      </c>
      <c r="B145" s="16" t="s">
        <v>129</v>
      </c>
      <c r="C145" s="16" t="s">
        <v>20</v>
      </c>
      <c r="D145" s="16" t="s">
        <v>53</v>
      </c>
      <c r="E145" s="16" t="s">
        <v>31</v>
      </c>
      <c r="F145" s="17">
        <v>708.14</v>
      </c>
      <c r="G145" s="17">
        <v>140.05000000000001</v>
      </c>
      <c r="H145" s="18">
        <v>0.2</v>
      </c>
      <c r="I145" s="16">
        <v>17</v>
      </c>
      <c r="J145" s="19">
        <v>44770</v>
      </c>
      <c r="K145" s="16">
        <v>7</v>
      </c>
      <c r="L145" s="16">
        <v>2022</v>
      </c>
    </row>
    <row r="146" spans="1:12" x14ac:dyDescent="0.3">
      <c r="A146" s="20" t="s">
        <v>224</v>
      </c>
      <c r="B146" s="20" t="s">
        <v>103</v>
      </c>
      <c r="C146" s="20" t="s">
        <v>41</v>
      </c>
      <c r="D146" s="20" t="s">
        <v>26</v>
      </c>
      <c r="E146" s="20" t="s">
        <v>27</v>
      </c>
      <c r="F146" s="21">
        <v>1798.73</v>
      </c>
      <c r="G146" s="21">
        <v>192.8</v>
      </c>
      <c r="H146" s="22">
        <v>0.1</v>
      </c>
      <c r="I146" s="20">
        <v>4</v>
      </c>
      <c r="J146" s="23">
        <v>45542</v>
      </c>
      <c r="K146" s="20">
        <v>9</v>
      </c>
      <c r="L146" s="20">
        <v>2024</v>
      </c>
    </row>
    <row r="147" spans="1:12" x14ac:dyDescent="0.3">
      <c r="A147" s="16" t="s">
        <v>225</v>
      </c>
      <c r="B147" s="16" t="s">
        <v>141</v>
      </c>
      <c r="C147" s="16" t="s">
        <v>41</v>
      </c>
      <c r="D147" s="16" t="s">
        <v>30</v>
      </c>
      <c r="E147" s="16" t="s">
        <v>31</v>
      </c>
      <c r="F147" s="17">
        <v>4799.47</v>
      </c>
      <c r="G147" s="17">
        <v>687.09</v>
      </c>
      <c r="H147" s="18">
        <v>0.1</v>
      </c>
      <c r="I147" s="16">
        <v>5</v>
      </c>
      <c r="J147" s="19">
        <v>45022</v>
      </c>
      <c r="K147" s="16">
        <v>4</v>
      </c>
      <c r="L147" s="16">
        <v>2023</v>
      </c>
    </row>
    <row r="148" spans="1:12" x14ac:dyDescent="0.3">
      <c r="A148" s="20" t="s">
        <v>226</v>
      </c>
      <c r="B148" s="20" t="s">
        <v>227</v>
      </c>
      <c r="C148" s="20" t="s">
        <v>47</v>
      </c>
      <c r="D148" s="20" t="s">
        <v>34</v>
      </c>
      <c r="E148" s="20" t="s">
        <v>35</v>
      </c>
      <c r="F148" s="21">
        <v>3843.93</v>
      </c>
      <c r="G148" s="21">
        <v>526.9</v>
      </c>
      <c r="H148" s="22">
        <v>0.05</v>
      </c>
      <c r="I148" s="20">
        <v>16</v>
      </c>
      <c r="J148" s="23">
        <v>45224</v>
      </c>
      <c r="K148" s="20">
        <v>10</v>
      </c>
      <c r="L148" s="20">
        <v>2023</v>
      </c>
    </row>
    <row r="149" spans="1:12" x14ac:dyDescent="0.3">
      <c r="A149" s="16" t="s">
        <v>228</v>
      </c>
      <c r="B149" s="16" t="s">
        <v>14</v>
      </c>
      <c r="C149" s="16" t="s">
        <v>20</v>
      </c>
      <c r="D149" s="16" t="s">
        <v>34</v>
      </c>
      <c r="E149" s="16" t="s">
        <v>35</v>
      </c>
      <c r="F149" s="17">
        <v>4635.9399999999996</v>
      </c>
      <c r="G149" s="17">
        <v>906.61</v>
      </c>
      <c r="H149" s="18">
        <v>0.25</v>
      </c>
      <c r="I149" s="16">
        <v>20</v>
      </c>
      <c r="J149" s="19">
        <v>45241</v>
      </c>
      <c r="K149" s="16">
        <v>11</v>
      </c>
      <c r="L149" s="16">
        <v>2023</v>
      </c>
    </row>
    <row r="150" spans="1:12" x14ac:dyDescent="0.3">
      <c r="A150" s="20" t="s">
        <v>229</v>
      </c>
      <c r="B150" s="20" t="s">
        <v>46</v>
      </c>
      <c r="C150" s="20" t="s">
        <v>20</v>
      </c>
      <c r="D150" s="20" t="s">
        <v>21</v>
      </c>
      <c r="E150" s="20" t="s">
        <v>22</v>
      </c>
      <c r="F150" s="21">
        <v>2450.8200000000002</v>
      </c>
      <c r="G150" s="21">
        <v>623.04999999999995</v>
      </c>
      <c r="H150" s="22">
        <v>0.15</v>
      </c>
      <c r="I150" s="20">
        <v>19</v>
      </c>
      <c r="J150" s="23">
        <v>44729</v>
      </c>
      <c r="K150" s="20">
        <v>6</v>
      </c>
      <c r="L150" s="20">
        <v>2022</v>
      </c>
    </row>
    <row r="151" spans="1:12" x14ac:dyDescent="0.3">
      <c r="A151" s="16" t="s">
        <v>230</v>
      </c>
      <c r="B151" s="16" t="s">
        <v>117</v>
      </c>
      <c r="C151" s="16" t="s">
        <v>41</v>
      </c>
      <c r="D151" s="16" t="s">
        <v>53</v>
      </c>
      <c r="E151" s="16" t="s">
        <v>31</v>
      </c>
      <c r="F151" s="17">
        <v>2369.19</v>
      </c>
      <c r="G151" s="17">
        <v>432.56</v>
      </c>
      <c r="H151" s="18">
        <v>0.05</v>
      </c>
      <c r="I151" s="16">
        <v>10</v>
      </c>
      <c r="J151" s="19">
        <v>44893</v>
      </c>
      <c r="K151" s="16">
        <v>11</v>
      </c>
      <c r="L151" s="16">
        <v>2022</v>
      </c>
    </row>
    <row r="152" spans="1:12" x14ac:dyDescent="0.3">
      <c r="A152" s="20" t="s">
        <v>231</v>
      </c>
      <c r="B152" s="20" t="s">
        <v>24</v>
      </c>
      <c r="C152" s="20" t="s">
        <v>25</v>
      </c>
      <c r="D152" s="20" t="s">
        <v>53</v>
      </c>
      <c r="E152" s="20" t="s">
        <v>31</v>
      </c>
      <c r="F152" s="21">
        <v>2633.93</v>
      </c>
      <c r="G152" s="21">
        <v>516.41999999999996</v>
      </c>
      <c r="H152" s="22">
        <v>0.2</v>
      </c>
      <c r="I152" s="20">
        <v>2</v>
      </c>
      <c r="J152" s="23">
        <v>45220</v>
      </c>
      <c r="K152" s="20">
        <v>10</v>
      </c>
      <c r="L152" s="20">
        <v>2023</v>
      </c>
    </row>
    <row r="153" spans="1:12" x14ac:dyDescent="0.3">
      <c r="A153" s="16" t="s">
        <v>232</v>
      </c>
      <c r="B153" s="16" t="s">
        <v>24</v>
      </c>
      <c r="C153" s="16" t="s">
        <v>41</v>
      </c>
      <c r="D153" s="16" t="s">
        <v>42</v>
      </c>
      <c r="E153" s="16" t="s">
        <v>22</v>
      </c>
      <c r="F153" s="17">
        <v>2483.02</v>
      </c>
      <c r="G153" s="17">
        <v>758.53</v>
      </c>
      <c r="H153" s="18">
        <v>0.1</v>
      </c>
      <c r="I153" s="16">
        <v>15</v>
      </c>
      <c r="J153" s="19">
        <v>44735</v>
      </c>
      <c r="K153" s="16">
        <v>6</v>
      </c>
      <c r="L153" s="16">
        <v>2022</v>
      </c>
    </row>
    <row r="154" spans="1:12" x14ac:dyDescent="0.3">
      <c r="A154" s="20" t="s">
        <v>233</v>
      </c>
      <c r="B154" s="20" t="s">
        <v>96</v>
      </c>
      <c r="C154" s="20" t="s">
        <v>25</v>
      </c>
      <c r="D154" s="20" t="s">
        <v>53</v>
      </c>
      <c r="E154" s="20" t="s">
        <v>31</v>
      </c>
      <c r="F154" s="21">
        <v>1028.28</v>
      </c>
      <c r="G154" s="21">
        <v>256.26</v>
      </c>
      <c r="H154" s="22">
        <v>0.1</v>
      </c>
      <c r="I154" s="20">
        <v>15</v>
      </c>
      <c r="J154" s="23">
        <v>45555</v>
      </c>
      <c r="K154" s="20">
        <v>9</v>
      </c>
      <c r="L154" s="20">
        <v>2024</v>
      </c>
    </row>
    <row r="155" spans="1:12" x14ac:dyDescent="0.3">
      <c r="A155" s="16" t="s">
        <v>234</v>
      </c>
      <c r="B155" s="16" t="s">
        <v>160</v>
      </c>
      <c r="C155" s="16" t="s">
        <v>41</v>
      </c>
      <c r="D155" s="16" t="s">
        <v>21</v>
      </c>
      <c r="E155" s="16" t="s">
        <v>22</v>
      </c>
      <c r="F155" s="17">
        <v>4606.1000000000004</v>
      </c>
      <c r="G155" s="17">
        <v>745.05</v>
      </c>
      <c r="H155" s="18">
        <v>0.2</v>
      </c>
      <c r="I155" s="16">
        <v>11</v>
      </c>
      <c r="J155" s="19">
        <v>45567</v>
      </c>
      <c r="K155" s="16">
        <v>10</v>
      </c>
      <c r="L155" s="16">
        <v>2024</v>
      </c>
    </row>
    <row r="156" spans="1:12" x14ac:dyDescent="0.3">
      <c r="A156" s="20" t="s">
        <v>235</v>
      </c>
      <c r="B156" s="20" t="s">
        <v>44</v>
      </c>
      <c r="C156" s="20" t="s">
        <v>15</v>
      </c>
      <c r="D156" s="20" t="s">
        <v>30</v>
      </c>
      <c r="E156" s="20" t="s">
        <v>31</v>
      </c>
      <c r="F156" s="21">
        <v>653.63</v>
      </c>
      <c r="G156" s="21">
        <v>89.44</v>
      </c>
      <c r="H156" s="22">
        <v>0.2</v>
      </c>
      <c r="I156" s="20">
        <v>20</v>
      </c>
      <c r="J156" s="23">
        <v>44715</v>
      </c>
      <c r="K156" s="20">
        <v>6</v>
      </c>
      <c r="L156" s="20">
        <v>2022</v>
      </c>
    </row>
    <row r="157" spans="1:12" x14ac:dyDescent="0.3">
      <c r="A157" s="16" t="s">
        <v>236</v>
      </c>
      <c r="B157" s="16" t="s">
        <v>177</v>
      </c>
      <c r="C157" s="16" t="s">
        <v>47</v>
      </c>
      <c r="D157" s="16" t="s">
        <v>34</v>
      </c>
      <c r="E157" s="16" t="s">
        <v>35</v>
      </c>
      <c r="F157" s="17">
        <v>1879.14</v>
      </c>
      <c r="G157" s="17">
        <v>198.79</v>
      </c>
      <c r="H157" s="18">
        <v>0.2</v>
      </c>
      <c r="I157" s="16">
        <v>3</v>
      </c>
      <c r="J157" s="19">
        <v>45182</v>
      </c>
      <c r="K157" s="16">
        <v>9</v>
      </c>
      <c r="L157" s="16">
        <v>2023</v>
      </c>
    </row>
    <row r="158" spans="1:12" x14ac:dyDescent="0.3">
      <c r="A158" s="20" t="s">
        <v>237</v>
      </c>
      <c r="B158" s="20" t="s">
        <v>52</v>
      </c>
      <c r="C158" s="20" t="s">
        <v>47</v>
      </c>
      <c r="D158" s="20" t="s">
        <v>30</v>
      </c>
      <c r="E158" s="20" t="s">
        <v>31</v>
      </c>
      <c r="F158" s="21">
        <v>3573.59</v>
      </c>
      <c r="G158" s="21">
        <v>330.64</v>
      </c>
      <c r="H158" s="22">
        <v>0.25</v>
      </c>
      <c r="I158" s="20">
        <v>14</v>
      </c>
      <c r="J158" s="23">
        <v>45444</v>
      </c>
      <c r="K158" s="20">
        <v>6</v>
      </c>
      <c r="L158" s="20">
        <v>2024</v>
      </c>
    </row>
    <row r="159" spans="1:12" x14ac:dyDescent="0.3">
      <c r="A159" s="16" t="s">
        <v>238</v>
      </c>
      <c r="B159" s="16" t="s">
        <v>131</v>
      </c>
      <c r="C159" s="16" t="s">
        <v>41</v>
      </c>
      <c r="D159" s="16" t="s">
        <v>30</v>
      </c>
      <c r="E159" s="16" t="s">
        <v>31</v>
      </c>
      <c r="F159" s="17">
        <v>4765.6099999999997</v>
      </c>
      <c r="G159" s="17">
        <v>1364.77</v>
      </c>
      <c r="H159" s="18">
        <v>0.15</v>
      </c>
      <c r="I159" s="16">
        <v>16</v>
      </c>
      <c r="J159" s="19">
        <v>44656</v>
      </c>
      <c r="K159" s="16">
        <v>4</v>
      </c>
      <c r="L159" s="16">
        <v>2022</v>
      </c>
    </row>
    <row r="160" spans="1:12" x14ac:dyDescent="0.3">
      <c r="A160" s="20" t="s">
        <v>239</v>
      </c>
      <c r="B160" s="20" t="s">
        <v>98</v>
      </c>
      <c r="C160" s="20" t="s">
        <v>15</v>
      </c>
      <c r="D160" s="20" t="s">
        <v>21</v>
      </c>
      <c r="E160" s="20" t="s">
        <v>22</v>
      </c>
      <c r="F160" s="21">
        <v>4253.26</v>
      </c>
      <c r="G160" s="21">
        <v>916.9</v>
      </c>
      <c r="H160" s="22">
        <v>0.05</v>
      </c>
      <c r="I160" s="20">
        <v>18</v>
      </c>
      <c r="J160" s="23">
        <v>45537</v>
      </c>
      <c r="K160" s="20">
        <v>9</v>
      </c>
      <c r="L160" s="20">
        <v>2024</v>
      </c>
    </row>
    <row r="161" spans="1:12" x14ac:dyDescent="0.3">
      <c r="A161" s="16" t="s">
        <v>240</v>
      </c>
      <c r="B161" s="16" t="s">
        <v>50</v>
      </c>
      <c r="C161" s="16" t="s">
        <v>25</v>
      </c>
      <c r="D161" s="16" t="s">
        <v>30</v>
      </c>
      <c r="E161" s="16" t="s">
        <v>31</v>
      </c>
      <c r="F161" s="17">
        <v>3066.78</v>
      </c>
      <c r="G161" s="17">
        <v>387.96</v>
      </c>
      <c r="H161" s="18">
        <v>0.1</v>
      </c>
      <c r="I161" s="16">
        <v>20</v>
      </c>
      <c r="J161" s="19">
        <v>44910</v>
      </c>
      <c r="K161" s="16">
        <v>12</v>
      </c>
      <c r="L161" s="16">
        <v>2022</v>
      </c>
    </row>
    <row r="162" spans="1:12" x14ac:dyDescent="0.3">
      <c r="A162" s="20" t="s">
        <v>241</v>
      </c>
      <c r="B162" s="20" t="s">
        <v>160</v>
      </c>
      <c r="C162" s="20" t="s">
        <v>20</v>
      </c>
      <c r="D162" s="20" t="s">
        <v>48</v>
      </c>
      <c r="E162" s="20" t="s">
        <v>31</v>
      </c>
      <c r="F162" s="21">
        <v>3446.54</v>
      </c>
      <c r="G162" s="21">
        <v>1062.08</v>
      </c>
      <c r="H162" s="22">
        <v>0.1</v>
      </c>
      <c r="I162" s="20">
        <v>20</v>
      </c>
      <c r="J162" s="23">
        <v>45286</v>
      </c>
      <c r="K162" s="20">
        <v>12</v>
      </c>
      <c r="L162" s="20">
        <v>2023</v>
      </c>
    </row>
    <row r="163" spans="1:12" x14ac:dyDescent="0.3">
      <c r="A163" s="16" t="s">
        <v>242</v>
      </c>
      <c r="B163" s="16" t="s">
        <v>243</v>
      </c>
      <c r="C163" s="16" t="s">
        <v>47</v>
      </c>
      <c r="D163" s="16" t="s">
        <v>38</v>
      </c>
      <c r="E163" s="16" t="s">
        <v>22</v>
      </c>
      <c r="F163" s="17">
        <v>1348.01</v>
      </c>
      <c r="G163" s="17">
        <v>351.55</v>
      </c>
      <c r="H163" s="18">
        <v>0.2</v>
      </c>
      <c r="I163" s="16">
        <v>7</v>
      </c>
      <c r="J163" s="19">
        <v>45249</v>
      </c>
      <c r="K163" s="16">
        <v>11</v>
      </c>
      <c r="L163" s="16">
        <v>2023</v>
      </c>
    </row>
    <row r="164" spans="1:12" x14ac:dyDescent="0.3">
      <c r="A164" s="20" t="s">
        <v>244</v>
      </c>
      <c r="B164" s="20" t="s">
        <v>46</v>
      </c>
      <c r="C164" s="20" t="s">
        <v>20</v>
      </c>
      <c r="D164" s="20" t="s">
        <v>38</v>
      </c>
      <c r="E164" s="20" t="s">
        <v>22</v>
      </c>
      <c r="F164" s="21">
        <v>1552.5</v>
      </c>
      <c r="G164" s="21">
        <v>280.35000000000002</v>
      </c>
      <c r="H164" s="22">
        <v>0.2</v>
      </c>
      <c r="I164" s="20">
        <v>14</v>
      </c>
      <c r="J164" s="23">
        <v>44677</v>
      </c>
      <c r="K164" s="20">
        <v>4</v>
      </c>
      <c r="L164" s="20">
        <v>2022</v>
      </c>
    </row>
    <row r="165" spans="1:12" x14ac:dyDescent="0.3">
      <c r="A165" s="16" t="s">
        <v>245</v>
      </c>
      <c r="B165" s="16" t="s">
        <v>145</v>
      </c>
      <c r="C165" s="16" t="s">
        <v>47</v>
      </c>
      <c r="D165" s="16" t="s">
        <v>34</v>
      </c>
      <c r="E165" s="16" t="s">
        <v>35</v>
      </c>
      <c r="F165" s="17">
        <v>1400.02</v>
      </c>
      <c r="G165" s="17">
        <v>356.76</v>
      </c>
      <c r="H165" s="18">
        <v>0.2</v>
      </c>
      <c r="I165" s="16">
        <v>18</v>
      </c>
      <c r="J165" s="19">
        <v>44923</v>
      </c>
      <c r="K165" s="16">
        <v>12</v>
      </c>
      <c r="L165" s="16">
        <v>2022</v>
      </c>
    </row>
    <row r="166" spans="1:12" x14ac:dyDescent="0.3">
      <c r="A166" s="20" t="s">
        <v>246</v>
      </c>
      <c r="B166" s="20" t="s">
        <v>98</v>
      </c>
      <c r="C166" s="20" t="s">
        <v>15</v>
      </c>
      <c r="D166" s="20" t="s">
        <v>16</v>
      </c>
      <c r="E166" s="20" t="s">
        <v>17</v>
      </c>
      <c r="F166" s="21">
        <v>602.6</v>
      </c>
      <c r="G166" s="21">
        <v>91.22</v>
      </c>
      <c r="H166" s="22">
        <v>0.1</v>
      </c>
      <c r="I166" s="20">
        <v>17</v>
      </c>
      <c r="J166" s="23">
        <v>44745</v>
      </c>
      <c r="K166" s="20">
        <v>7</v>
      </c>
      <c r="L166" s="20">
        <v>2022</v>
      </c>
    </row>
    <row r="167" spans="1:12" x14ac:dyDescent="0.3">
      <c r="A167" s="16" t="s">
        <v>247</v>
      </c>
      <c r="B167" s="16" t="s">
        <v>248</v>
      </c>
      <c r="C167" s="16" t="s">
        <v>20</v>
      </c>
      <c r="D167" s="16" t="s">
        <v>42</v>
      </c>
      <c r="E167" s="16" t="s">
        <v>22</v>
      </c>
      <c r="F167" s="17">
        <v>1878.01</v>
      </c>
      <c r="G167" s="17">
        <v>363.47</v>
      </c>
      <c r="H167" s="18">
        <v>0.05</v>
      </c>
      <c r="I167" s="16">
        <v>13</v>
      </c>
      <c r="J167" s="19">
        <v>45451</v>
      </c>
      <c r="K167" s="16">
        <v>6</v>
      </c>
      <c r="L167" s="16">
        <v>2024</v>
      </c>
    </row>
    <row r="168" spans="1:12" x14ac:dyDescent="0.3">
      <c r="A168" s="20" t="s">
        <v>249</v>
      </c>
      <c r="B168" s="20" t="s">
        <v>160</v>
      </c>
      <c r="C168" s="20" t="s">
        <v>15</v>
      </c>
      <c r="D168" s="20" t="s">
        <v>57</v>
      </c>
      <c r="E168" s="20" t="s">
        <v>17</v>
      </c>
      <c r="F168" s="21">
        <v>1277.79</v>
      </c>
      <c r="G168" s="21">
        <v>361.36</v>
      </c>
      <c r="H168" s="22">
        <v>0.15</v>
      </c>
      <c r="I168" s="20">
        <v>11</v>
      </c>
      <c r="J168" s="23">
        <v>44622</v>
      </c>
      <c r="K168" s="20">
        <v>3</v>
      </c>
      <c r="L168" s="20">
        <v>2022</v>
      </c>
    </row>
    <row r="169" spans="1:12" x14ac:dyDescent="0.3">
      <c r="A169" s="16" t="s">
        <v>250</v>
      </c>
      <c r="B169" s="16" t="s">
        <v>125</v>
      </c>
      <c r="C169" s="16" t="s">
        <v>20</v>
      </c>
      <c r="D169" s="16" t="s">
        <v>26</v>
      </c>
      <c r="E169" s="16" t="s">
        <v>27</v>
      </c>
      <c r="F169" s="17">
        <v>4189.33</v>
      </c>
      <c r="G169" s="17">
        <v>711.01</v>
      </c>
      <c r="H169" s="18">
        <v>0.2</v>
      </c>
      <c r="I169" s="16">
        <v>1</v>
      </c>
      <c r="J169" s="19">
        <v>44570</v>
      </c>
      <c r="K169" s="16">
        <v>1</v>
      </c>
      <c r="L169" s="16">
        <v>2022</v>
      </c>
    </row>
    <row r="170" spans="1:12" x14ac:dyDescent="0.3">
      <c r="A170" s="20" t="s">
        <v>251</v>
      </c>
      <c r="B170" s="20" t="s">
        <v>24</v>
      </c>
      <c r="C170" s="20" t="s">
        <v>47</v>
      </c>
      <c r="D170" s="20" t="s">
        <v>42</v>
      </c>
      <c r="E170" s="20" t="s">
        <v>22</v>
      </c>
      <c r="F170" s="21">
        <v>4713.08</v>
      </c>
      <c r="G170" s="21">
        <v>819.87</v>
      </c>
      <c r="H170" s="22">
        <v>0.25</v>
      </c>
      <c r="I170" s="20">
        <v>4</v>
      </c>
      <c r="J170" s="23">
        <v>45026</v>
      </c>
      <c r="K170" s="20">
        <v>4</v>
      </c>
      <c r="L170" s="20">
        <v>2023</v>
      </c>
    </row>
    <row r="171" spans="1:12" x14ac:dyDescent="0.3">
      <c r="A171" s="16" t="s">
        <v>252</v>
      </c>
      <c r="B171" s="16" t="s">
        <v>14</v>
      </c>
      <c r="C171" s="16" t="s">
        <v>15</v>
      </c>
      <c r="D171" s="16" t="s">
        <v>53</v>
      </c>
      <c r="E171" s="16" t="s">
        <v>31</v>
      </c>
      <c r="F171" s="17">
        <v>2215.16</v>
      </c>
      <c r="G171" s="17">
        <v>356</v>
      </c>
      <c r="H171" s="18">
        <v>0.25</v>
      </c>
      <c r="I171" s="16">
        <v>4</v>
      </c>
      <c r="J171" s="19">
        <v>45217</v>
      </c>
      <c r="K171" s="16">
        <v>10</v>
      </c>
      <c r="L171" s="16">
        <v>2023</v>
      </c>
    </row>
    <row r="172" spans="1:12" x14ac:dyDescent="0.3">
      <c r="A172" s="20" t="s">
        <v>253</v>
      </c>
      <c r="B172" s="20" t="s">
        <v>94</v>
      </c>
      <c r="C172" s="20" t="s">
        <v>25</v>
      </c>
      <c r="D172" s="20" t="s">
        <v>48</v>
      </c>
      <c r="E172" s="20" t="s">
        <v>31</v>
      </c>
      <c r="F172" s="21">
        <v>1361.3</v>
      </c>
      <c r="G172" s="21">
        <v>211.73</v>
      </c>
      <c r="H172" s="22">
        <v>0.1</v>
      </c>
      <c r="I172" s="20">
        <v>1</v>
      </c>
      <c r="J172" s="23">
        <v>45451</v>
      </c>
      <c r="K172" s="20">
        <v>6</v>
      </c>
      <c r="L172" s="20">
        <v>2024</v>
      </c>
    </row>
    <row r="173" spans="1:12" x14ac:dyDescent="0.3">
      <c r="A173" s="16" t="s">
        <v>254</v>
      </c>
      <c r="B173" s="16" t="s">
        <v>131</v>
      </c>
      <c r="C173" s="16" t="s">
        <v>20</v>
      </c>
      <c r="D173" s="16" t="s">
        <v>34</v>
      </c>
      <c r="E173" s="16" t="s">
        <v>35</v>
      </c>
      <c r="F173" s="17">
        <v>3388.98</v>
      </c>
      <c r="G173" s="17">
        <v>743.3</v>
      </c>
      <c r="H173" s="18">
        <v>0.05</v>
      </c>
      <c r="I173" s="16">
        <v>12</v>
      </c>
      <c r="J173" s="19">
        <v>44822</v>
      </c>
      <c r="K173" s="16">
        <v>9</v>
      </c>
      <c r="L173" s="16">
        <v>2022</v>
      </c>
    </row>
    <row r="174" spans="1:12" x14ac:dyDescent="0.3">
      <c r="A174" s="20" t="s">
        <v>255</v>
      </c>
      <c r="B174" s="20" t="s">
        <v>24</v>
      </c>
      <c r="C174" s="20" t="s">
        <v>25</v>
      </c>
      <c r="D174" s="20" t="s">
        <v>16</v>
      </c>
      <c r="E174" s="20" t="s">
        <v>17</v>
      </c>
      <c r="F174" s="21">
        <v>297.60000000000002</v>
      </c>
      <c r="G174" s="21">
        <v>26.4</v>
      </c>
      <c r="H174" s="22">
        <v>0.2</v>
      </c>
      <c r="I174" s="20">
        <v>13</v>
      </c>
      <c r="J174" s="23">
        <v>45070</v>
      </c>
      <c r="K174" s="20">
        <v>5</v>
      </c>
      <c r="L174" s="20">
        <v>2023</v>
      </c>
    </row>
    <row r="175" spans="1:12" x14ac:dyDescent="0.3">
      <c r="A175" s="16" t="s">
        <v>256</v>
      </c>
      <c r="B175" s="16" t="s">
        <v>127</v>
      </c>
      <c r="C175" s="16" t="s">
        <v>41</v>
      </c>
      <c r="D175" s="16" t="s">
        <v>48</v>
      </c>
      <c r="E175" s="16" t="s">
        <v>31</v>
      </c>
      <c r="F175" s="17">
        <v>524.29</v>
      </c>
      <c r="G175" s="17">
        <v>133.65</v>
      </c>
      <c r="H175" s="18">
        <v>0.1</v>
      </c>
      <c r="I175" s="16">
        <v>4</v>
      </c>
      <c r="J175" s="19">
        <v>45651</v>
      </c>
      <c r="K175" s="16">
        <v>12</v>
      </c>
      <c r="L175" s="16">
        <v>2024</v>
      </c>
    </row>
    <row r="176" spans="1:12" x14ac:dyDescent="0.3">
      <c r="A176" s="20" t="s">
        <v>257</v>
      </c>
      <c r="B176" s="20" t="s">
        <v>174</v>
      </c>
      <c r="C176" s="20" t="s">
        <v>47</v>
      </c>
      <c r="D176" s="20" t="s">
        <v>30</v>
      </c>
      <c r="E176" s="20" t="s">
        <v>31</v>
      </c>
      <c r="F176" s="21">
        <v>1891.04</v>
      </c>
      <c r="G176" s="21">
        <v>487.64</v>
      </c>
      <c r="H176" s="22">
        <v>0.15</v>
      </c>
      <c r="I176" s="20">
        <v>6</v>
      </c>
      <c r="J176" s="23">
        <v>45527</v>
      </c>
      <c r="K176" s="20">
        <v>8</v>
      </c>
      <c r="L176" s="20">
        <v>2024</v>
      </c>
    </row>
    <row r="177" spans="1:12" x14ac:dyDescent="0.3">
      <c r="A177" s="16" t="s">
        <v>258</v>
      </c>
      <c r="B177" s="16" t="s">
        <v>80</v>
      </c>
      <c r="C177" s="16" t="s">
        <v>47</v>
      </c>
      <c r="D177" s="16" t="s">
        <v>38</v>
      </c>
      <c r="E177" s="16" t="s">
        <v>22</v>
      </c>
      <c r="F177" s="17">
        <v>847.29</v>
      </c>
      <c r="G177" s="17">
        <v>74.05</v>
      </c>
      <c r="H177" s="18">
        <v>0.2</v>
      </c>
      <c r="I177" s="16">
        <v>7</v>
      </c>
      <c r="J177" s="19">
        <v>44653</v>
      </c>
      <c r="K177" s="16">
        <v>4</v>
      </c>
      <c r="L177" s="16">
        <v>2022</v>
      </c>
    </row>
    <row r="178" spans="1:12" x14ac:dyDescent="0.3">
      <c r="A178" s="20" t="s">
        <v>259</v>
      </c>
      <c r="B178" s="20" t="s">
        <v>98</v>
      </c>
      <c r="C178" s="20" t="s">
        <v>41</v>
      </c>
      <c r="D178" s="20" t="s">
        <v>30</v>
      </c>
      <c r="E178" s="20" t="s">
        <v>31</v>
      </c>
      <c r="F178" s="21">
        <v>2111.48</v>
      </c>
      <c r="G178" s="21">
        <v>345.78</v>
      </c>
      <c r="H178" s="22">
        <v>0.25</v>
      </c>
      <c r="I178" s="20">
        <v>2</v>
      </c>
      <c r="J178" s="23">
        <v>45392</v>
      </c>
      <c r="K178" s="20">
        <v>4</v>
      </c>
      <c r="L178" s="20">
        <v>2024</v>
      </c>
    </row>
    <row r="179" spans="1:12" x14ac:dyDescent="0.3">
      <c r="A179" s="16" t="s">
        <v>260</v>
      </c>
      <c r="B179" s="16" t="s">
        <v>145</v>
      </c>
      <c r="C179" s="16" t="s">
        <v>15</v>
      </c>
      <c r="D179" s="16" t="s">
        <v>30</v>
      </c>
      <c r="E179" s="16" t="s">
        <v>31</v>
      </c>
      <c r="F179" s="17">
        <v>3347.51</v>
      </c>
      <c r="G179" s="17">
        <v>373.08</v>
      </c>
      <c r="H179" s="18">
        <v>0.15</v>
      </c>
      <c r="I179" s="16">
        <v>12</v>
      </c>
      <c r="J179" s="19">
        <v>45131</v>
      </c>
      <c r="K179" s="16">
        <v>7</v>
      </c>
      <c r="L179" s="16">
        <v>2023</v>
      </c>
    </row>
    <row r="180" spans="1:12" x14ac:dyDescent="0.3">
      <c r="A180" s="20" t="s">
        <v>261</v>
      </c>
      <c r="B180" s="20" t="s">
        <v>44</v>
      </c>
      <c r="C180" s="20" t="s">
        <v>20</v>
      </c>
      <c r="D180" s="20" t="s">
        <v>38</v>
      </c>
      <c r="E180" s="20" t="s">
        <v>22</v>
      </c>
      <c r="F180" s="21">
        <v>4873.87</v>
      </c>
      <c r="G180" s="21">
        <v>1064.52</v>
      </c>
      <c r="H180" s="22">
        <v>0.2</v>
      </c>
      <c r="I180" s="20">
        <v>12</v>
      </c>
      <c r="J180" s="23">
        <v>45438</v>
      </c>
      <c r="K180" s="20">
        <v>5</v>
      </c>
      <c r="L180" s="20">
        <v>2024</v>
      </c>
    </row>
    <row r="181" spans="1:12" x14ac:dyDescent="0.3">
      <c r="A181" s="16" t="s">
        <v>262</v>
      </c>
      <c r="B181" s="16" t="s">
        <v>33</v>
      </c>
      <c r="C181" s="16" t="s">
        <v>20</v>
      </c>
      <c r="D181" s="16" t="s">
        <v>53</v>
      </c>
      <c r="E181" s="16" t="s">
        <v>31</v>
      </c>
      <c r="F181" s="17">
        <v>2266.91</v>
      </c>
      <c r="G181" s="17">
        <v>482.24</v>
      </c>
      <c r="H181" s="18">
        <v>0.1</v>
      </c>
      <c r="I181" s="16">
        <v>11</v>
      </c>
      <c r="J181" s="19">
        <v>44603</v>
      </c>
      <c r="K181" s="16">
        <v>2</v>
      </c>
      <c r="L181" s="16">
        <v>2022</v>
      </c>
    </row>
    <row r="182" spans="1:12" x14ac:dyDescent="0.3">
      <c r="A182" s="20" t="s">
        <v>263</v>
      </c>
      <c r="B182" s="20" t="s">
        <v>69</v>
      </c>
      <c r="C182" s="20" t="s">
        <v>41</v>
      </c>
      <c r="D182" s="20" t="s">
        <v>26</v>
      </c>
      <c r="E182" s="20" t="s">
        <v>27</v>
      </c>
      <c r="F182" s="21">
        <v>3092.58</v>
      </c>
      <c r="G182" s="21">
        <v>350.48</v>
      </c>
      <c r="H182" s="22">
        <v>0.2</v>
      </c>
      <c r="I182" s="20">
        <v>15</v>
      </c>
      <c r="J182" s="23">
        <v>45140</v>
      </c>
      <c r="K182" s="20">
        <v>8</v>
      </c>
      <c r="L182" s="20">
        <v>2023</v>
      </c>
    </row>
    <row r="183" spans="1:12" x14ac:dyDescent="0.3">
      <c r="A183" s="16" t="s">
        <v>264</v>
      </c>
      <c r="B183" s="16" t="s">
        <v>265</v>
      </c>
      <c r="C183" s="16" t="s">
        <v>25</v>
      </c>
      <c r="D183" s="16" t="s">
        <v>30</v>
      </c>
      <c r="E183" s="16" t="s">
        <v>31</v>
      </c>
      <c r="F183" s="17">
        <v>1517.87</v>
      </c>
      <c r="G183" s="17">
        <v>171.25</v>
      </c>
      <c r="H183" s="18">
        <v>0.05</v>
      </c>
      <c r="I183" s="16">
        <v>13</v>
      </c>
      <c r="J183" s="19">
        <v>45195</v>
      </c>
      <c r="K183" s="16">
        <v>9</v>
      </c>
      <c r="L183" s="16">
        <v>2023</v>
      </c>
    </row>
    <row r="184" spans="1:12" x14ac:dyDescent="0.3">
      <c r="A184" s="20" t="s">
        <v>266</v>
      </c>
      <c r="B184" s="20" t="s">
        <v>61</v>
      </c>
      <c r="C184" s="20" t="s">
        <v>15</v>
      </c>
      <c r="D184" s="20" t="s">
        <v>21</v>
      </c>
      <c r="E184" s="20" t="s">
        <v>22</v>
      </c>
      <c r="F184" s="21">
        <v>4273.6099999999997</v>
      </c>
      <c r="G184" s="21">
        <v>371.63</v>
      </c>
      <c r="H184" s="22">
        <v>0.2</v>
      </c>
      <c r="I184" s="20">
        <v>3</v>
      </c>
      <c r="J184" s="23">
        <v>44877</v>
      </c>
      <c r="K184" s="20">
        <v>11</v>
      </c>
      <c r="L184" s="20">
        <v>2022</v>
      </c>
    </row>
    <row r="185" spans="1:12" x14ac:dyDescent="0.3">
      <c r="A185" s="16" t="s">
        <v>267</v>
      </c>
      <c r="B185" s="16" t="s">
        <v>94</v>
      </c>
      <c r="C185" s="16" t="s">
        <v>20</v>
      </c>
      <c r="D185" s="16" t="s">
        <v>30</v>
      </c>
      <c r="E185" s="16" t="s">
        <v>31</v>
      </c>
      <c r="F185" s="17">
        <v>355.45</v>
      </c>
      <c r="G185" s="17">
        <v>86.3</v>
      </c>
      <c r="H185" s="18">
        <v>0.1</v>
      </c>
      <c r="I185" s="16">
        <v>12</v>
      </c>
      <c r="J185" s="19">
        <v>45163</v>
      </c>
      <c r="K185" s="16">
        <v>8</v>
      </c>
      <c r="L185" s="16">
        <v>2023</v>
      </c>
    </row>
    <row r="186" spans="1:12" x14ac:dyDescent="0.3">
      <c r="A186" s="20" t="s">
        <v>268</v>
      </c>
      <c r="B186" s="20" t="s">
        <v>50</v>
      </c>
      <c r="C186" s="20" t="s">
        <v>25</v>
      </c>
      <c r="D186" s="20" t="s">
        <v>53</v>
      </c>
      <c r="E186" s="20" t="s">
        <v>31</v>
      </c>
      <c r="F186" s="21">
        <v>2741.41</v>
      </c>
      <c r="G186" s="21">
        <v>391.68</v>
      </c>
      <c r="H186" s="22">
        <v>0.2</v>
      </c>
      <c r="I186" s="20">
        <v>9</v>
      </c>
      <c r="J186" s="23">
        <v>44593</v>
      </c>
      <c r="K186" s="20">
        <v>2</v>
      </c>
      <c r="L186" s="20">
        <v>2022</v>
      </c>
    </row>
    <row r="187" spans="1:12" x14ac:dyDescent="0.3">
      <c r="A187" s="16" t="s">
        <v>269</v>
      </c>
      <c r="B187" s="16" t="s">
        <v>89</v>
      </c>
      <c r="C187" s="16" t="s">
        <v>20</v>
      </c>
      <c r="D187" s="16" t="s">
        <v>21</v>
      </c>
      <c r="E187" s="16" t="s">
        <v>22</v>
      </c>
      <c r="F187" s="17">
        <v>2057.54</v>
      </c>
      <c r="G187" s="17">
        <v>199.75</v>
      </c>
      <c r="H187" s="18">
        <v>0.25</v>
      </c>
      <c r="I187" s="16">
        <v>9</v>
      </c>
      <c r="J187" s="19">
        <v>45511</v>
      </c>
      <c r="K187" s="16">
        <v>8</v>
      </c>
      <c r="L187" s="16">
        <v>2024</v>
      </c>
    </row>
    <row r="188" spans="1:12" x14ac:dyDescent="0.3">
      <c r="A188" s="20" t="s">
        <v>270</v>
      </c>
      <c r="B188" s="20" t="s">
        <v>125</v>
      </c>
      <c r="C188" s="20" t="s">
        <v>41</v>
      </c>
      <c r="D188" s="20" t="s">
        <v>34</v>
      </c>
      <c r="E188" s="20" t="s">
        <v>35</v>
      </c>
      <c r="F188" s="21">
        <v>4599.1000000000004</v>
      </c>
      <c r="G188" s="21">
        <v>552.05999999999995</v>
      </c>
      <c r="H188" s="22">
        <v>0.2</v>
      </c>
      <c r="I188" s="20">
        <v>5</v>
      </c>
      <c r="J188" s="23">
        <v>44779</v>
      </c>
      <c r="K188" s="20">
        <v>8</v>
      </c>
      <c r="L188" s="20">
        <v>2022</v>
      </c>
    </row>
    <row r="189" spans="1:12" x14ac:dyDescent="0.3">
      <c r="A189" s="16" t="s">
        <v>271</v>
      </c>
      <c r="B189" s="16" t="s">
        <v>80</v>
      </c>
      <c r="C189" s="16" t="s">
        <v>15</v>
      </c>
      <c r="D189" s="16" t="s">
        <v>38</v>
      </c>
      <c r="E189" s="16" t="s">
        <v>22</v>
      </c>
      <c r="F189" s="17">
        <v>3473.26</v>
      </c>
      <c r="G189" s="17">
        <v>788.14</v>
      </c>
      <c r="H189" s="18">
        <v>0.15</v>
      </c>
      <c r="I189" s="16">
        <v>3</v>
      </c>
      <c r="J189" s="19">
        <v>45545</v>
      </c>
      <c r="K189" s="16">
        <v>9</v>
      </c>
      <c r="L189" s="16">
        <v>2024</v>
      </c>
    </row>
    <row r="190" spans="1:12" x14ac:dyDescent="0.3">
      <c r="A190" s="20" t="s">
        <v>272</v>
      </c>
      <c r="B190" s="20" t="s">
        <v>101</v>
      </c>
      <c r="C190" s="20" t="s">
        <v>47</v>
      </c>
      <c r="D190" s="20" t="s">
        <v>26</v>
      </c>
      <c r="E190" s="20" t="s">
        <v>27</v>
      </c>
      <c r="F190" s="21">
        <v>3605.91</v>
      </c>
      <c r="G190" s="21">
        <v>968.48</v>
      </c>
      <c r="H190" s="22">
        <v>0.1</v>
      </c>
      <c r="I190" s="20">
        <v>17</v>
      </c>
      <c r="J190" s="23">
        <v>44599</v>
      </c>
      <c r="K190" s="20">
        <v>2</v>
      </c>
      <c r="L190" s="20">
        <v>2022</v>
      </c>
    </row>
    <row r="191" spans="1:12" x14ac:dyDescent="0.3">
      <c r="A191" s="16" t="s">
        <v>273</v>
      </c>
      <c r="B191" s="16" t="s">
        <v>127</v>
      </c>
      <c r="C191" s="16" t="s">
        <v>47</v>
      </c>
      <c r="D191" s="16" t="s">
        <v>21</v>
      </c>
      <c r="E191" s="16" t="s">
        <v>22</v>
      </c>
      <c r="F191" s="17">
        <v>2571.31</v>
      </c>
      <c r="G191" s="17">
        <v>521.28</v>
      </c>
      <c r="H191" s="18">
        <v>0.15</v>
      </c>
      <c r="I191" s="16">
        <v>12</v>
      </c>
      <c r="J191" s="19">
        <v>45174</v>
      </c>
      <c r="K191" s="16">
        <v>9</v>
      </c>
      <c r="L191" s="16">
        <v>2023</v>
      </c>
    </row>
    <row r="192" spans="1:12" x14ac:dyDescent="0.3">
      <c r="A192" s="20" t="s">
        <v>274</v>
      </c>
      <c r="B192" s="20" t="s">
        <v>46</v>
      </c>
      <c r="C192" s="20" t="s">
        <v>15</v>
      </c>
      <c r="D192" s="20" t="s">
        <v>34</v>
      </c>
      <c r="E192" s="20" t="s">
        <v>35</v>
      </c>
      <c r="F192" s="21">
        <v>1684.6</v>
      </c>
      <c r="G192" s="21">
        <v>311.89</v>
      </c>
      <c r="H192" s="22">
        <v>0.2</v>
      </c>
      <c r="I192" s="20">
        <v>14</v>
      </c>
      <c r="J192" s="23">
        <v>45327</v>
      </c>
      <c r="K192" s="20">
        <v>2</v>
      </c>
      <c r="L192" s="20">
        <v>2024</v>
      </c>
    </row>
    <row r="193" spans="1:12" x14ac:dyDescent="0.3">
      <c r="A193" s="16" t="s">
        <v>275</v>
      </c>
      <c r="B193" s="16" t="s">
        <v>69</v>
      </c>
      <c r="C193" s="16" t="s">
        <v>15</v>
      </c>
      <c r="D193" s="16" t="s">
        <v>30</v>
      </c>
      <c r="E193" s="16" t="s">
        <v>31</v>
      </c>
      <c r="F193" s="17">
        <v>2436</v>
      </c>
      <c r="G193" s="17">
        <v>340.06</v>
      </c>
      <c r="H193" s="18">
        <v>0.25</v>
      </c>
      <c r="I193" s="16">
        <v>18</v>
      </c>
      <c r="J193" s="19">
        <v>45571</v>
      </c>
      <c r="K193" s="16">
        <v>10</v>
      </c>
      <c r="L193" s="16">
        <v>2024</v>
      </c>
    </row>
    <row r="194" spans="1:12" x14ac:dyDescent="0.3">
      <c r="A194" s="20" t="s">
        <v>276</v>
      </c>
      <c r="B194" s="20" t="s">
        <v>98</v>
      </c>
      <c r="C194" s="20" t="s">
        <v>20</v>
      </c>
      <c r="D194" s="20" t="s">
        <v>21</v>
      </c>
      <c r="E194" s="20" t="s">
        <v>22</v>
      </c>
      <c r="F194" s="21">
        <v>4571.42</v>
      </c>
      <c r="G194" s="21">
        <v>1336.94</v>
      </c>
      <c r="H194" s="22">
        <v>0.05</v>
      </c>
      <c r="I194" s="20">
        <v>17</v>
      </c>
      <c r="J194" s="23">
        <v>44687</v>
      </c>
      <c r="K194" s="20">
        <v>5</v>
      </c>
      <c r="L194" s="20">
        <v>2022</v>
      </c>
    </row>
    <row r="195" spans="1:12" x14ac:dyDescent="0.3">
      <c r="A195" s="16" t="s">
        <v>277</v>
      </c>
      <c r="B195" s="16" t="s">
        <v>71</v>
      </c>
      <c r="C195" s="16" t="s">
        <v>41</v>
      </c>
      <c r="D195" s="16" t="s">
        <v>21</v>
      </c>
      <c r="E195" s="16" t="s">
        <v>22</v>
      </c>
      <c r="F195" s="17">
        <v>3604.79</v>
      </c>
      <c r="G195" s="17">
        <v>1032.2</v>
      </c>
      <c r="H195" s="18">
        <v>0.15</v>
      </c>
      <c r="I195" s="16">
        <v>17</v>
      </c>
      <c r="J195" s="19">
        <v>44966</v>
      </c>
      <c r="K195" s="16">
        <v>2</v>
      </c>
      <c r="L195" s="16">
        <v>2023</v>
      </c>
    </row>
    <row r="196" spans="1:12" x14ac:dyDescent="0.3">
      <c r="A196" s="20" t="s">
        <v>278</v>
      </c>
      <c r="B196" s="20" t="s">
        <v>56</v>
      </c>
      <c r="C196" s="20" t="s">
        <v>25</v>
      </c>
      <c r="D196" s="20" t="s">
        <v>42</v>
      </c>
      <c r="E196" s="20" t="s">
        <v>22</v>
      </c>
      <c r="F196" s="21">
        <v>800.82</v>
      </c>
      <c r="G196" s="21">
        <v>172.63</v>
      </c>
      <c r="H196" s="22">
        <v>0.15</v>
      </c>
      <c r="I196" s="20">
        <v>3</v>
      </c>
      <c r="J196" s="23">
        <v>45602</v>
      </c>
      <c r="K196" s="20">
        <v>11</v>
      </c>
      <c r="L196" s="20">
        <v>2024</v>
      </c>
    </row>
    <row r="197" spans="1:12" x14ac:dyDescent="0.3">
      <c r="A197" s="16" t="s">
        <v>279</v>
      </c>
      <c r="B197" s="16" t="s">
        <v>61</v>
      </c>
      <c r="C197" s="16" t="s">
        <v>25</v>
      </c>
      <c r="D197" s="16" t="s">
        <v>34</v>
      </c>
      <c r="E197" s="16" t="s">
        <v>35</v>
      </c>
      <c r="F197" s="17">
        <v>1021.76</v>
      </c>
      <c r="G197" s="17">
        <v>214.69</v>
      </c>
      <c r="H197" s="18">
        <v>0.25</v>
      </c>
      <c r="I197" s="16">
        <v>20</v>
      </c>
      <c r="J197" s="19">
        <v>45201</v>
      </c>
      <c r="K197" s="16">
        <v>10</v>
      </c>
      <c r="L197" s="16">
        <v>2023</v>
      </c>
    </row>
    <row r="198" spans="1:12" x14ac:dyDescent="0.3">
      <c r="A198" s="20" t="s">
        <v>280</v>
      </c>
      <c r="B198" s="20" t="s">
        <v>174</v>
      </c>
      <c r="C198" s="20" t="s">
        <v>15</v>
      </c>
      <c r="D198" s="20" t="s">
        <v>48</v>
      </c>
      <c r="E198" s="20" t="s">
        <v>31</v>
      </c>
      <c r="F198" s="21">
        <v>4753.0200000000004</v>
      </c>
      <c r="G198" s="21">
        <v>592.34</v>
      </c>
      <c r="H198" s="22">
        <v>0.25</v>
      </c>
      <c r="I198" s="20">
        <v>7</v>
      </c>
      <c r="J198" s="23">
        <v>45493</v>
      </c>
      <c r="K198" s="20">
        <v>7</v>
      </c>
      <c r="L198" s="20">
        <v>2024</v>
      </c>
    </row>
    <row r="199" spans="1:12" x14ac:dyDescent="0.3">
      <c r="A199" s="16" t="s">
        <v>281</v>
      </c>
      <c r="B199" s="16" t="s">
        <v>248</v>
      </c>
      <c r="C199" s="16" t="s">
        <v>20</v>
      </c>
      <c r="D199" s="16" t="s">
        <v>48</v>
      </c>
      <c r="E199" s="16" t="s">
        <v>31</v>
      </c>
      <c r="F199" s="17">
        <v>3210.39</v>
      </c>
      <c r="G199" s="17">
        <v>710.8</v>
      </c>
      <c r="H199" s="18">
        <v>0.15</v>
      </c>
      <c r="I199" s="16">
        <v>10</v>
      </c>
      <c r="J199" s="19">
        <v>45042</v>
      </c>
      <c r="K199" s="16">
        <v>4</v>
      </c>
      <c r="L199" s="16">
        <v>2023</v>
      </c>
    </row>
    <row r="200" spans="1:12" x14ac:dyDescent="0.3">
      <c r="A200" s="20" t="s">
        <v>282</v>
      </c>
      <c r="B200" s="20" t="s">
        <v>117</v>
      </c>
      <c r="C200" s="20" t="s">
        <v>41</v>
      </c>
      <c r="D200" s="20" t="s">
        <v>57</v>
      </c>
      <c r="E200" s="20" t="s">
        <v>17</v>
      </c>
      <c r="F200" s="21">
        <v>550.27</v>
      </c>
      <c r="G200" s="21">
        <v>72.94</v>
      </c>
      <c r="H200" s="22">
        <v>0.05</v>
      </c>
      <c r="I200" s="20">
        <v>14</v>
      </c>
      <c r="J200" s="23">
        <v>45145</v>
      </c>
      <c r="K200" s="20">
        <v>8</v>
      </c>
      <c r="L200" s="20">
        <v>2023</v>
      </c>
    </row>
    <row r="201" spans="1:12" x14ac:dyDescent="0.3">
      <c r="A201" s="16" t="s">
        <v>283</v>
      </c>
      <c r="B201" s="16" t="s">
        <v>61</v>
      </c>
      <c r="C201" s="16" t="s">
        <v>25</v>
      </c>
      <c r="D201" s="16" t="s">
        <v>30</v>
      </c>
      <c r="E201" s="16" t="s">
        <v>31</v>
      </c>
      <c r="F201" s="17">
        <v>1700.4</v>
      </c>
      <c r="G201" s="17">
        <v>409.83</v>
      </c>
      <c r="H201" s="18">
        <v>0.15</v>
      </c>
      <c r="I201" s="16">
        <v>12</v>
      </c>
      <c r="J201" s="19">
        <v>45010</v>
      </c>
      <c r="K201" s="16">
        <v>3</v>
      </c>
      <c r="L201" s="16">
        <v>2023</v>
      </c>
    </row>
    <row r="202" spans="1:12" x14ac:dyDescent="0.3">
      <c r="A202" s="20" t="s">
        <v>284</v>
      </c>
      <c r="B202" s="20" t="s">
        <v>24</v>
      </c>
      <c r="C202" s="20" t="s">
        <v>25</v>
      </c>
      <c r="D202" s="20" t="s">
        <v>30</v>
      </c>
      <c r="E202" s="20" t="s">
        <v>31</v>
      </c>
      <c r="F202" s="21">
        <v>709.68</v>
      </c>
      <c r="G202" s="21">
        <v>138.36000000000001</v>
      </c>
      <c r="H202" s="22">
        <v>0.1</v>
      </c>
      <c r="I202" s="20">
        <v>9</v>
      </c>
      <c r="J202" s="23">
        <v>45021</v>
      </c>
      <c r="K202" s="20">
        <v>4</v>
      </c>
      <c r="L202" s="20">
        <v>2023</v>
      </c>
    </row>
    <row r="203" spans="1:12" x14ac:dyDescent="0.3">
      <c r="A203" s="16" t="s">
        <v>285</v>
      </c>
      <c r="B203" s="16" t="s">
        <v>98</v>
      </c>
      <c r="C203" s="16" t="s">
        <v>15</v>
      </c>
      <c r="D203" s="16" t="s">
        <v>53</v>
      </c>
      <c r="E203" s="16" t="s">
        <v>31</v>
      </c>
      <c r="F203" s="17">
        <v>4737.8500000000004</v>
      </c>
      <c r="G203" s="17">
        <v>726.79</v>
      </c>
      <c r="H203" s="18">
        <v>0.25</v>
      </c>
      <c r="I203" s="16">
        <v>6</v>
      </c>
      <c r="J203" s="19">
        <v>45223</v>
      </c>
      <c r="K203" s="16">
        <v>10</v>
      </c>
      <c r="L203" s="16">
        <v>2023</v>
      </c>
    </row>
    <row r="204" spans="1:12" x14ac:dyDescent="0.3">
      <c r="A204" s="20" t="s">
        <v>286</v>
      </c>
      <c r="B204" s="20" t="s">
        <v>227</v>
      </c>
      <c r="C204" s="20" t="s">
        <v>47</v>
      </c>
      <c r="D204" s="20" t="s">
        <v>30</v>
      </c>
      <c r="E204" s="20" t="s">
        <v>31</v>
      </c>
      <c r="F204" s="21">
        <v>964.84</v>
      </c>
      <c r="G204" s="21">
        <v>156.81</v>
      </c>
      <c r="H204" s="22">
        <v>0.25</v>
      </c>
      <c r="I204" s="20">
        <v>10</v>
      </c>
      <c r="J204" s="23">
        <v>44929</v>
      </c>
      <c r="K204" s="20">
        <v>1</v>
      </c>
      <c r="L204" s="20">
        <v>2023</v>
      </c>
    </row>
    <row r="205" spans="1:12" x14ac:dyDescent="0.3">
      <c r="A205" s="16" t="s">
        <v>287</v>
      </c>
      <c r="B205" s="16" t="s">
        <v>117</v>
      </c>
      <c r="C205" s="16" t="s">
        <v>25</v>
      </c>
      <c r="D205" s="16" t="s">
        <v>57</v>
      </c>
      <c r="E205" s="16" t="s">
        <v>17</v>
      </c>
      <c r="F205" s="17">
        <v>4840.1000000000004</v>
      </c>
      <c r="G205" s="17">
        <v>1070.8800000000001</v>
      </c>
      <c r="H205" s="18">
        <v>0.1</v>
      </c>
      <c r="I205" s="16">
        <v>2</v>
      </c>
      <c r="J205" s="19">
        <v>44697</v>
      </c>
      <c r="K205" s="16">
        <v>5</v>
      </c>
      <c r="L205" s="16">
        <v>2022</v>
      </c>
    </row>
    <row r="206" spans="1:12" x14ac:dyDescent="0.3">
      <c r="A206" s="20" t="s">
        <v>288</v>
      </c>
      <c r="B206" s="20" t="s">
        <v>98</v>
      </c>
      <c r="C206" s="20" t="s">
        <v>20</v>
      </c>
      <c r="D206" s="20" t="s">
        <v>34</v>
      </c>
      <c r="E206" s="20" t="s">
        <v>35</v>
      </c>
      <c r="F206" s="21">
        <v>2776.12</v>
      </c>
      <c r="G206" s="21">
        <v>547.85</v>
      </c>
      <c r="H206" s="22">
        <v>0.05</v>
      </c>
      <c r="I206" s="20">
        <v>9</v>
      </c>
      <c r="J206" s="23">
        <v>45468</v>
      </c>
      <c r="K206" s="20">
        <v>6</v>
      </c>
      <c r="L206" s="20">
        <v>2024</v>
      </c>
    </row>
    <row r="207" spans="1:12" x14ac:dyDescent="0.3">
      <c r="A207" s="16" t="s">
        <v>289</v>
      </c>
      <c r="B207" s="16" t="s">
        <v>174</v>
      </c>
      <c r="C207" s="16" t="s">
        <v>41</v>
      </c>
      <c r="D207" s="16" t="s">
        <v>57</v>
      </c>
      <c r="E207" s="16" t="s">
        <v>17</v>
      </c>
      <c r="F207" s="17">
        <v>2122.79</v>
      </c>
      <c r="G207" s="17">
        <v>382.83</v>
      </c>
      <c r="H207" s="18">
        <v>0.25</v>
      </c>
      <c r="I207" s="16">
        <v>12</v>
      </c>
      <c r="J207" s="19">
        <v>45415</v>
      </c>
      <c r="K207" s="16">
        <v>5</v>
      </c>
      <c r="L207" s="16">
        <v>2024</v>
      </c>
    </row>
    <row r="208" spans="1:12" x14ac:dyDescent="0.3">
      <c r="A208" s="20" t="s">
        <v>290</v>
      </c>
      <c r="B208" s="20" t="s">
        <v>69</v>
      </c>
      <c r="C208" s="20" t="s">
        <v>25</v>
      </c>
      <c r="D208" s="20" t="s">
        <v>57</v>
      </c>
      <c r="E208" s="20" t="s">
        <v>17</v>
      </c>
      <c r="F208" s="21">
        <v>3869.14</v>
      </c>
      <c r="G208" s="21">
        <v>1007.44</v>
      </c>
      <c r="H208" s="22">
        <v>0.15</v>
      </c>
      <c r="I208" s="20">
        <v>20</v>
      </c>
      <c r="J208" s="23">
        <v>45569</v>
      </c>
      <c r="K208" s="20">
        <v>10</v>
      </c>
      <c r="L208" s="20">
        <v>2024</v>
      </c>
    </row>
    <row r="209" spans="1:12" x14ac:dyDescent="0.3">
      <c r="A209" s="16" t="s">
        <v>291</v>
      </c>
      <c r="B209" s="16" t="s">
        <v>40</v>
      </c>
      <c r="C209" s="16" t="s">
        <v>15</v>
      </c>
      <c r="D209" s="16" t="s">
        <v>21</v>
      </c>
      <c r="E209" s="16" t="s">
        <v>22</v>
      </c>
      <c r="F209" s="17">
        <v>1991.35</v>
      </c>
      <c r="G209" s="17">
        <v>405.32</v>
      </c>
      <c r="H209" s="18">
        <v>0.15</v>
      </c>
      <c r="I209" s="16">
        <v>12</v>
      </c>
      <c r="J209" s="19">
        <v>44671</v>
      </c>
      <c r="K209" s="16">
        <v>4</v>
      </c>
      <c r="L209" s="16">
        <v>2022</v>
      </c>
    </row>
    <row r="210" spans="1:12" x14ac:dyDescent="0.3">
      <c r="A210" s="20" t="s">
        <v>292</v>
      </c>
      <c r="B210" s="20" t="s">
        <v>98</v>
      </c>
      <c r="C210" s="20" t="s">
        <v>20</v>
      </c>
      <c r="D210" s="20" t="s">
        <v>16</v>
      </c>
      <c r="E210" s="20" t="s">
        <v>17</v>
      </c>
      <c r="F210" s="21">
        <v>393.22</v>
      </c>
      <c r="G210" s="21">
        <v>50.15</v>
      </c>
      <c r="H210" s="22">
        <v>0.05</v>
      </c>
      <c r="I210" s="20">
        <v>11</v>
      </c>
      <c r="J210" s="23">
        <v>45184</v>
      </c>
      <c r="K210" s="20">
        <v>9</v>
      </c>
      <c r="L210" s="20">
        <v>2023</v>
      </c>
    </row>
    <row r="211" spans="1:12" x14ac:dyDescent="0.3">
      <c r="A211" s="16" t="s">
        <v>293</v>
      </c>
      <c r="B211" s="16" t="s">
        <v>112</v>
      </c>
      <c r="C211" s="16" t="s">
        <v>25</v>
      </c>
      <c r="D211" s="16" t="s">
        <v>21</v>
      </c>
      <c r="E211" s="16" t="s">
        <v>22</v>
      </c>
      <c r="F211" s="17">
        <v>2674.43</v>
      </c>
      <c r="G211" s="17">
        <v>756.64</v>
      </c>
      <c r="H211" s="18">
        <v>0.15</v>
      </c>
      <c r="I211" s="16">
        <v>11</v>
      </c>
      <c r="J211" s="19">
        <v>44762</v>
      </c>
      <c r="K211" s="16">
        <v>7</v>
      </c>
      <c r="L211" s="16">
        <v>2022</v>
      </c>
    </row>
    <row r="212" spans="1:12" x14ac:dyDescent="0.3">
      <c r="A212" s="20" t="s">
        <v>294</v>
      </c>
      <c r="B212" s="20" t="s">
        <v>44</v>
      </c>
      <c r="C212" s="20" t="s">
        <v>25</v>
      </c>
      <c r="D212" s="20" t="s">
        <v>26</v>
      </c>
      <c r="E212" s="20" t="s">
        <v>27</v>
      </c>
      <c r="F212" s="21">
        <v>2635.11</v>
      </c>
      <c r="G212" s="21">
        <v>460.65</v>
      </c>
      <c r="H212" s="22">
        <v>0.25</v>
      </c>
      <c r="I212" s="20">
        <v>19</v>
      </c>
      <c r="J212" s="23">
        <v>45165</v>
      </c>
      <c r="K212" s="20">
        <v>8</v>
      </c>
      <c r="L212" s="20">
        <v>2023</v>
      </c>
    </row>
    <row r="213" spans="1:12" x14ac:dyDescent="0.3">
      <c r="A213" s="16" t="s">
        <v>295</v>
      </c>
      <c r="B213" s="16" t="s">
        <v>44</v>
      </c>
      <c r="C213" s="16" t="s">
        <v>41</v>
      </c>
      <c r="D213" s="16" t="s">
        <v>48</v>
      </c>
      <c r="E213" s="16" t="s">
        <v>31</v>
      </c>
      <c r="F213" s="17">
        <v>3434.27</v>
      </c>
      <c r="G213" s="17">
        <v>675.66</v>
      </c>
      <c r="H213" s="18">
        <v>0.2</v>
      </c>
      <c r="I213" s="16">
        <v>1</v>
      </c>
      <c r="J213" s="19">
        <v>45513</v>
      </c>
      <c r="K213" s="16">
        <v>8</v>
      </c>
      <c r="L213" s="16">
        <v>2024</v>
      </c>
    </row>
    <row r="214" spans="1:12" x14ac:dyDescent="0.3">
      <c r="A214" s="20" t="s">
        <v>296</v>
      </c>
      <c r="B214" s="20" t="s">
        <v>103</v>
      </c>
      <c r="C214" s="20" t="s">
        <v>25</v>
      </c>
      <c r="D214" s="20" t="s">
        <v>34</v>
      </c>
      <c r="E214" s="20" t="s">
        <v>35</v>
      </c>
      <c r="F214" s="21">
        <v>3662.72</v>
      </c>
      <c r="G214" s="21">
        <v>604.66</v>
      </c>
      <c r="H214" s="22">
        <v>0.25</v>
      </c>
      <c r="I214" s="20">
        <v>17</v>
      </c>
      <c r="J214" s="23">
        <v>45646</v>
      </c>
      <c r="K214" s="20">
        <v>12</v>
      </c>
      <c r="L214" s="20">
        <v>2024</v>
      </c>
    </row>
    <row r="215" spans="1:12" x14ac:dyDescent="0.3">
      <c r="A215" s="16" t="s">
        <v>297</v>
      </c>
      <c r="B215" s="16" t="s">
        <v>298</v>
      </c>
      <c r="C215" s="16" t="s">
        <v>47</v>
      </c>
      <c r="D215" s="16" t="s">
        <v>57</v>
      </c>
      <c r="E215" s="16" t="s">
        <v>17</v>
      </c>
      <c r="F215" s="17">
        <v>3467.49</v>
      </c>
      <c r="G215" s="17">
        <v>800.94</v>
      </c>
      <c r="H215" s="18">
        <v>0.05</v>
      </c>
      <c r="I215" s="16">
        <v>4</v>
      </c>
      <c r="J215" s="19">
        <v>44576</v>
      </c>
      <c r="K215" s="16">
        <v>1</v>
      </c>
      <c r="L215" s="16">
        <v>2022</v>
      </c>
    </row>
    <row r="216" spans="1:12" x14ac:dyDescent="0.3">
      <c r="A216" s="20" t="s">
        <v>299</v>
      </c>
      <c r="B216" s="20" t="s">
        <v>61</v>
      </c>
      <c r="C216" s="20" t="s">
        <v>20</v>
      </c>
      <c r="D216" s="20" t="s">
        <v>30</v>
      </c>
      <c r="E216" s="20" t="s">
        <v>31</v>
      </c>
      <c r="F216" s="21">
        <v>2182.21</v>
      </c>
      <c r="G216" s="21">
        <v>397.89</v>
      </c>
      <c r="H216" s="22">
        <v>0.1</v>
      </c>
      <c r="I216" s="20">
        <v>20</v>
      </c>
      <c r="J216" s="23">
        <v>45284</v>
      </c>
      <c r="K216" s="20">
        <v>12</v>
      </c>
      <c r="L216" s="20">
        <v>2023</v>
      </c>
    </row>
    <row r="217" spans="1:12" x14ac:dyDescent="0.3">
      <c r="A217" s="16" t="s">
        <v>300</v>
      </c>
      <c r="B217" s="16" t="s">
        <v>89</v>
      </c>
      <c r="C217" s="16" t="s">
        <v>47</v>
      </c>
      <c r="D217" s="16" t="s">
        <v>48</v>
      </c>
      <c r="E217" s="16" t="s">
        <v>31</v>
      </c>
      <c r="F217" s="17">
        <v>1195.24</v>
      </c>
      <c r="G217" s="17">
        <v>355.11</v>
      </c>
      <c r="H217" s="18">
        <v>0.15</v>
      </c>
      <c r="I217" s="16">
        <v>16</v>
      </c>
      <c r="J217" s="19">
        <v>45484</v>
      </c>
      <c r="K217" s="16">
        <v>7</v>
      </c>
      <c r="L217" s="16">
        <v>2024</v>
      </c>
    </row>
    <row r="218" spans="1:12" x14ac:dyDescent="0.3">
      <c r="A218" s="20" t="s">
        <v>301</v>
      </c>
      <c r="B218" s="20" t="s">
        <v>177</v>
      </c>
      <c r="C218" s="20" t="s">
        <v>20</v>
      </c>
      <c r="D218" s="20" t="s">
        <v>21</v>
      </c>
      <c r="E218" s="20" t="s">
        <v>22</v>
      </c>
      <c r="F218" s="21">
        <v>2759.01</v>
      </c>
      <c r="G218" s="21">
        <v>390.2</v>
      </c>
      <c r="H218" s="22">
        <v>0.25</v>
      </c>
      <c r="I218" s="20">
        <v>9</v>
      </c>
      <c r="J218" s="23">
        <v>45511</v>
      </c>
      <c r="K218" s="20">
        <v>8</v>
      </c>
      <c r="L218" s="20">
        <v>2024</v>
      </c>
    </row>
    <row r="219" spans="1:12" x14ac:dyDescent="0.3">
      <c r="A219" s="16" t="s">
        <v>302</v>
      </c>
      <c r="B219" s="16" t="s">
        <v>24</v>
      </c>
      <c r="C219" s="16" t="s">
        <v>41</v>
      </c>
      <c r="D219" s="16" t="s">
        <v>42</v>
      </c>
      <c r="E219" s="16" t="s">
        <v>22</v>
      </c>
      <c r="F219" s="17">
        <v>1632.8</v>
      </c>
      <c r="G219" s="17">
        <v>406.36</v>
      </c>
      <c r="H219" s="18">
        <v>0.15</v>
      </c>
      <c r="I219" s="16">
        <v>7</v>
      </c>
      <c r="J219" s="19">
        <v>45642</v>
      </c>
      <c r="K219" s="16">
        <v>12</v>
      </c>
      <c r="L219" s="16">
        <v>2024</v>
      </c>
    </row>
    <row r="220" spans="1:12" x14ac:dyDescent="0.3">
      <c r="A220" s="20" t="s">
        <v>303</v>
      </c>
      <c r="B220" s="20" t="s">
        <v>85</v>
      </c>
      <c r="C220" s="20" t="s">
        <v>20</v>
      </c>
      <c r="D220" s="20" t="s">
        <v>30</v>
      </c>
      <c r="E220" s="20" t="s">
        <v>31</v>
      </c>
      <c r="F220" s="21">
        <v>2890.34</v>
      </c>
      <c r="G220" s="21">
        <v>422.44</v>
      </c>
      <c r="H220" s="22">
        <v>0.15</v>
      </c>
      <c r="I220" s="20">
        <v>19</v>
      </c>
      <c r="J220" s="23">
        <v>45548</v>
      </c>
      <c r="K220" s="20">
        <v>9</v>
      </c>
      <c r="L220" s="20">
        <v>2024</v>
      </c>
    </row>
    <row r="221" spans="1:12" x14ac:dyDescent="0.3">
      <c r="A221" s="16" t="s">
        <v>304</v>
      </c>
      <c r="B221" s="16" t="s">
        <v>46</v>
      </c>
      <c r="C221" s="16" t="s">
        <v>41</v>
      </c>
      <c r="D221" s="16" t="s">
        <v>57</v>
      </c>
      <c r="E221" s="16" t="s">
        <v>17</v>
      </c>
      <c r="F221" s="17">
        <v>4062.16</v>
      </c>
      <c r="G221" s="17">
        <v>381.6</v>
      </c>
      <c r="H221" s="18">
        <v>0.15</v>
      </c>
      <c r="I221" s="16">
        <v>3</v>
      </c>
      <c r="J221" s="19">
        <v>45159</v>
      </c>
      <c r="K221" s="16">
        <v>8</v>
      </c>
      <c r="L221" s="16">
        <v>2023</v>
      </c>
    </row>
    <row r="222" spans="1:12" x14ac:dyDescent="0.3">
      <c r="A222" s="20" t="s">
        <v>305</v>
      </c>
      <c r="B222" s="20" t="s">
        <v>218</v>
      </c>
      <c r="C222" s="20" t="s">
        <v>20</v>
      </c>
      <c r="D222" s="20" t="s">
        <v>26</v>
      </c>
      <c r="E222" s="20" t="s">
        <v>27</v>
      </c>
      <c r="F222" s="21">
        <v>1169.93</v>
      </c>
      <c r="G222" s="21">
        <v>147.22</v>
      </c>
      <c r="H222" s="22">
        <v>0.25</v>
      </c>
      <c r="I222" s="20">
        <v>18</v>
      </c>
      <c r="J222" s="23">
        <v>45417</v>
      </c>
      <c r="K222" s="20">
        <v>5</v>
      </c>
      <c r="L222" s="20">
        <v>2024</v>
      </c>
    </row>
    <row r="223" spans="1:12" x14ac:dyDescent="0.3">
      <c r="A223" s="16" t="s">
        <v>306</v>
      </c>
      <c r="B223" s="16" t="s">
        <v>138</v>
      </c>
      <c r="C223" s="16" t="s">
        <v>25</v>
      </c>
      <c r="D223" s="16" t="s">
        <v>53</v>
      </c>
      <c r="E223" s="16" t="s">
        <v>31</v>
      </c>
      <c r="F223" s="17">
        <v>3016.79</v>
      </c>
      <c r="G223" s="17">
        <v>305.97000000000003</v>
      </c>
      <c r="H223" s="18">
        <v>0.1</v>
      </c>
      <c r="I223" s="16">
        <v>17</v>
      </c>
      <c r="J223" s="19">
        <v>44873</v>
      </c>
      <c r="K223" s="16">
        <v>11</v>
      </c>
      <c r="L223" s="16">
        <v>2022</v>
      </c>
    </row>
    <row r="224" spans="1:12" x14ac:dyDescent="0.3">
      <c r="A224" s="20" t="s">
        <v>307</v>
      </c>
      <c r="B224" s="20" t="s">
        <v>114</v>
      </c>
      <c r="C224" s="20" t="s">
        <v>15</v>
      </c>
      <c r="D224" s="20" t="s">
        <v>48</v>
      </c>
      <c r="E224" s="20" t="s">
        <v>31</v>
      </c>
      <c r="F224" s="21">
        <v>1785.41</v>
      </c>
      <c r="G224" s="21">
        <v>178.74</v>
      </c>
      <c r="H224" s="22">
        <v>0.2</v>
      </c>
      <c r="I224" s="20">
        <v>5</v>
      </c>
      <c r="J224" s="23">
        <v>44810</v>
      </c>
      <c r="K224" s="20">
        <v>9</v>
      </c>
      <c r="L224" s="20">
        <v>2022</v>
      </c>
    </row>
    <row r="225" spans="1:12" x14ac:dyDescent="0.3">
      <c r="A225" s="16" t="s">
        <v>308</v>
      </c>
      <c r="B225" s="16" t="s">
        <v>309</v>
      </c>
      <c r="C225" s="16" t="s">
        <v>20</v>
      </c>
      <c r="D225" s="16" t="s">
        <v>57</v>
      </c>
      <c r="E225" s="16" t="s">
        <v>17</v>
      </c>
      <c r="F225" s="17">
        <v>3322.59</v>
      </c>
      <c r="G225" s="17">
        <v>509.18</v>
      </c>
      <c r="H225" s="18">
        <v>0.15</v>
      </c>
      <c r="I225" s="16">
        <v>2</v>
      </c>
      <c r="J225" s="19">
        <v>44884</v>
      </c>
      <c r="K225" s="16">
        <v>11</v>
      </c>
      <c r="L225" s="16">
        <v>2022</v>
      </c>
    </row>
    <row r="226" spans="1:12" x14ac:dyDescent="0.3">
      <c r="A226" s="20" t="s">
        <v>310</v>
      </c>
      <c r="B226" s="20" t="s">
        <v>138</v>
      </c>
      <c r="C226" s="20" t="s">
        <v>25</v>
      </c>
      <c r="D226" s="20" t="s">
        <v>42</v>
      </c>
      <c r="E226" s="20" t="s">
        <v>22</v>
      </c>
      <c r="F226" s="21">
        <v>3670.96</v>
      </c>
      <c r="G226" s="21">
        <v>1144.94</v>
      </c>
      <c r="H226" s="22">
        <v>0.05</v>
      </c>
      <c r="I226" s="20">
        <v>6</v>
      </c>
      <c r="J226" s="23">
        <v>44987</v>
      </c>
      <c r="K226" s="20">
        <v>3</v>
      </c>
      <c r="L226" s="20">
        <v>2023</v>
      </c>
    </row>
    <row r="227" spans="1:12" x14ac:dyDescent="0.3">
      <c r="A227" s="16" t="s">
        <v>311</v>
      </c>
      <c r="B227" s="16" t="s">
        <v>131</v>
      </c>
      <c r="C227" s="16" t="s">
        <v>20</v>
      </c>
      <c r="D227" s="16" t="s">
        <v>57</v>
      </c>
      <c r="E227" s="16" t="s">
        <v>17</v>
      </c>
      <c r="F227" s="17">
        <v>4695.72</v>
      </c>
      <c r="G227" s="17">
        <v>1273.99</v>
      </c>
      <c r="H227" s="18">
        <v>0.15</v>
      </c>
      <c r="I227" s="16">
        <v>1</v>
      </c>
      <c r="J227" s="19">
        <v>45219</v>
      </c>
      <c r="K227" s="16">
        <v>10</v>
      </c>
      <c r="L227" s="16">
        <v>2023</v>
      </c>
    </row>
    <row r="228" spans="1:12" x14ac:dyDescent="0.3">
      <c r="A228" s="20" t="s">
        <v>312</v>
      </c>
      <c r="B228" s="20" t="s">
        <v>98</v>
      </c>
      <c r="C228" s="20" t="s">
        <v>41</v>
      </c>
      <c r="D228" s="20" t="s">
        <v>53</v>
      </c>
      <c r="E228" s="20" t="s">
        <v>31</v>
      </c>
      <c r="F228" s="21">
        <v>2380.88</v>
      </c>
      <c r="G228" s="21">
        <v>412.63</v>
      </c>
      <c r="H228" s="22">
        <v>0.25</v>
      </c>
      <c r="I228" s="20">
        <v>5</v>
      </c>
      <c r="J228" s="23">
        <v>45513</v>
      </c>
      <c r="K228" s="20">
        <v>8</v>
      </c>
      <c r="L228" s="20">
        <v>2024</v>
      </c>
    </row>
    <row r="229" spans="1:12" x14ac:dyDescent="0.3">
      <c r="A229" s="16" t="s">
        <v>313</v>
      </c>
      <c r="B229" s="16" t="s">
        <v>44</v>
      </c>
      <c r="C229" s="16" t="s">
        <v>15</v>
      </c>
      <c r="D229" s="16" t="s">
        <v>42</v>
      </c>
      <c r="E229" s="16" t="s">
        <v>22</v>
      </c>
      <c r="F229" s="17">
        <v>979.97</v>
      </c>
      <c r="G229" s="17">
        <v>205.46</v>
      </c>
      <c r="H229" s="18">
        <v>0.2</v>
      </c>
      <c r="I229" s="16">
        <v>6</v>
      </c>
      <c r="J229" s="19">
        <v>44906</v>
      </c>
      <c r="K229" s="16">
        <v>12</v>
      </c>
      <c r="L229" s="16">
        <v>2022</v>
      </c>
    </row>
    <row r="230" spans="1:12" x14ac:dyDescent="0.3">
      <c r="A230" s="20" t="s">
        <v>314</v>
      </c>
      <c r="B230" s="20" t="s">
        <v>14</v>
      </c>
      <c r="C230" s="20" t="s">
        <v>25</v>
      </c>
      <c r="D230" s="20" t="s">
        <v>26</v>
      </c>
      <c r="E230" s="20" t="s">
        <v>27</v>
      </c>
      <c r="F230" s="21">
        <v>3834.96</v>
      </c>
      <c r="G230" s="21">
        <v>872.32</v>
      </c>
      <c r="H230" s="22">
        <v>0.1</v>
      </c>
      <c r="I230" s="20">
        <v>13</v>
      </c>
      <c r="J230" s="23">
        <v>45180</v>
      </c>
      <c r="K230" s="20">
        <v>9</v>
      </c>
      <c r="L230" s="20">
        <v>2023</v>
      </c>
    </row>
    <row r="231" spans="1:12" x14ac:dyDescent="0.3">
      <c r="A231" s="16" t="s">
        <v>315</v>
      </c>
      <c r="B231" s="16" t="s">
        <v>52</v>
      </c>
      <c r="C231" s="16" t="s">
        <v>20</v>
      </c>
      <c r="D231" s="16" t="s">
        <v>53</v>
      </c>
      <c r="E231" s="16" t="s">
        <v>31</v>
      </c>
      <c r="F231" s="17">
        <v>657.85</v>
      </c>
      <c r="G231" s="17">
        <v>129.88</v>
      </c>
      <c r="H231" s="18">
        <v>0.1</v>
      </c>
      <c r="I231" s="16">
        <v>8</v>
      </c>
      <c r="J231" s="19">
        <v>44694</v>
      </c>
      <c r="K231" s="16">
        <v>5</v>
      </c>
      <c r="L231" s="16">
        <v>2022</v>
      </c>
    </row>
    <row r="232" spans="1:12" x14ac:dyDescent="0.3">
      <c r="A232" s="20" t="s">
        <v>316</v>
      </c>
      <c r="B232" s="20" t="s">
        <v>227</v>
      </c>
      <c r="C232" s="20" t="s">
        <v>20</v>
      </c>
      <c r="D232" s="20" t="s">
        <v>42</v>
      </c>
      <c r="E232" s="20" t="s">
        <v>22</v>
      </c>
      <c r="F232" s="21">
        <v>1481.57</v>
      </c>
      <c r="G232" s="21">
        <v>221</v>
      </c>
      <c r="H232" s="22">
        <v>0.15</v>
      </c>
      <c r="I232" s="20">
        <v>19</v>
      </c>
      <c r="J232" s="23">
        <v>44702</v>
      </c>
      <c r="K232" s="20">
        <v>5</v>
      </c>
      <c r="L232" s="20">
        <v>2022</v>
      </c>
    </row>
    <row r="233" spans="1:12" x14ac:dyDescent="0.3">
      <c r="A233" s="16" t="s">
        <v>317</v>
      </c>
      <c r="B233" s="16" t="s">
        <v>63</v>
      </c>
      <c r="C233" s="16" t="s">
        <v>47</v>
      </c>
      <c r="D233" s="16" t="s">
        <v>30</v>
      </c>
      <c r="E233" s="16" t="s">
        <v>31</v>
      </c>
      <c r="F233" s="17">
        <v>3405.37</v>
      </c>
      <c r="G233" s="17">
        <v>481.39</v>
      </c>
      <c r="H233" s="18">
        <v>0.2</v>
      </c>
      <c r="I233" s="16">
        <v>13</v>
      </c>
      <c r="J233" s="19">
        <v>45558</v>
      </c>
      <c r="K233" s="16">
        <v>9</v>
      </c>
      <c r="L233" s="16">
        <v>2024</v>
      </c>
    </row>
    <row r="234" spans="1:12" x14ac:dyDescent="0.3">
      <c r="A234" s="20" t="s">
        <v>318</v>
      </c>
      <c r="B234" s="20" t="s">
        <v>74</v>
      </c>
      <c r="C234" s="20" t="s">
        <v>15</v>
      </c>
      <c r="D234" s="20" t="s">
        <v>26</v>
      </c>
      <c r="E234" s="20" t="s">
        <v>27</v>
      </c>
      <c r="F234" s="21">
        <v>4597.43</v>
      </c>
      <c r="G234" s="21">
        <v>749.85</v>
      </c>
      <c r="H234" s="22">
        <v>0.15</v>
      </c>
      <c r="I234" s="20">
        <v>8</v>
      </c>
      <c r="J234" s="23">
        <v>44636</v>
      </c>
      <c r="K234" s="20">
        <v>3</v>
      </c>
      <c r="L234" s="20">
        <v>2022</v>
      </c>
    </row>
    <row r="235" spans="1:12" x14ac:dyDescent="0.3">
      <c r="A235" s="16" t="s">
        <v>319</v>
      </c>
      <c r="B235" s="16" t="s">
        <v>138</v>
      </c>
      <c r="C235" s="16" t="s">
        <v>20</v>
      </c>
      <c r="D235" s="16" t="s">
        <v>21</v>
      </c>
      <c r="E235" s="16" t="s">
        <v>22</v>
      </c>
      <c r="F235" s="17">
        <v>4946.42</v>
      </c>
      <c r="G235" s="17">
        <v>857.55</v>
      </c>
      <c r="H235" s="18">
        <v>0.15</v>
      </c>
      <c r="I235" s="16">
        <v>18</v>
      </c>
      <c r="J235" s="19">
        <v>45195</v>
      </c>
      <c r="K235" s="16">
        <v>9</v>
      </c>
      <c r="L235" s="16">
        <v>2023</v>
      </c>
    </row>
    <row r="236" spans="1:12" x14ac:dyDescent="0.3">
      <c r="A236" s="20" t="s">
        <v>320</v>
      </c>
      <c r="B236" s="20" t="s">
        <v>14</v>
      </c>
      <c r="C236" s="20" t="s">
        <v>47</v>
      </c>
      <c r="D236" s="20" t="s">
        <v>42</v>
      </c>
      <c r="E236" s="20" t="s">
        <v>22</v>
      </c>
      <c r="F236" s="21">
        <v>3822.75</v>
      </c>
      <c r="G236" s="21">
        <v>840.27</v>
      </c>
      <c r="H236" s="22">
        <v>0.05</v>
      </c>
      <c r="I236" s="20">
        <v>17</v>
      </c>
      <c r="J236" s="23">
        <v>45446</v>
      </c>
      <c r="K236" s="20">
        <v>6</v>
      </c>
      <c r="L236" s="20">
        <v>2024</v>
      </c>
    </row>
    <row r="237" spans="1:12" x14ac:dyDescent="0.3">
      <c r="A237" s="16" t="s">
        <v>321</v>
      </c>
      <c r="B237" s="16" t="s">
        <v>63</v>
      </c>
      <c r="C237" s="16" t="s">
        <v>15</v>
      </c>
      <c r="D237" s="16" t="s">
        <v>34</v>
      </c>
      <c r="E237" s="16" t="s">
        <v>35</v>
      </c>
      <c r="F237" s="17">
        <v>4178.12</v>
      </c>
      <c r="G237" s="17">
        <v>471.73</v>
      </c>
      <c r="H237" s="18">
        <v>0.25</v>
      </c>
      <c r="I237" s="16">
        <v>18</v>
      </c>
      <c r="J237" s="19">
        <v>44631</v>
      </c>
      <c r="K237" s="16">
        <v>3</v>
      </c>
      <c r="L237" s="16">
        <v>2022</v>
      </c>
    </row>
    <row r="238" spans="1:12" x14ac:dyDescent="0.3">
      <c r="A238" s="20" t="s">
        <v>322</v>
      </c>
      <c r="B238" s="20" t="s">
        <v>222</v>
      </c>
      <c r="C238" s="20" t="s">
        <v>20</v>
      </c>
      <c r="D238" s="20" t="s">
        <v>16</v>
      </c>
      <c r="E238" s="20" t="s">
        <v>17</v>
      </c>
      <c r="F238" s="21">
        <v>3465.42</v>
      </c>
      <c r="G238" s="21">
        <v>577.53</v>
      </c>
      <c r="H238" s="22">
        <v>0.25</v>
      </c>
      <c r="I238" s="20">
        <v>17</v>
      </c>
      <c r="J238" s="23">
        <v>44941</v>
      </c>
      <c r="K238" s="20">
        <v>1</v>
      </c>
      <c r="L238" s="20">
        <v>2023</v>
      </c>
    </row>
    <row r="239" spans="1:12" x14ac:dyDescent="0.3">
      <c r="A239" s="16" t="s">
        <v>323</v>
      </c>
      <c r="B239" s="16" t="s">
        <v>114</v>
      </c>
      <c r="C239" s="16" t="s">
        <v>25</v>
      </c>
      <c r="D239" s="16" t="s">
        <v>21</v>
      </c>
      <c r="E239" s="16" t="s">
        <v>22</v>
      </c>
      <c r="F239" s="17">
        <v>2392.63</v>
      </c>
      <c r="G239" s="17">
        <v>544.84</v>
      </c>
      <c r="H239" s="18">
        <v>0.05</v>
      </c>
      <c r="I239" s="16">
        <v>10</v>
      </c>
      <c r="J239" s="19">
        <v>45304</v>
      </c>
      <c r="K239" s="16">
        <v>1</v>
      </c>
      <c r="L239" s="16">
        <v>2024</v>
      </c>
    </row>
    <row r="240" spans="1:12" x14ac:dyDescent="0.3">
      <c r="A240" s="20" t="s">
        <v>324</v>
      </c>
      <c r="B240" s="20" t="s">
        <v>138</v>
      </c>
      <c r="C240" s="20" t="s">
        <v>15</v>
      </c>
      <c r="D240" s="20" t="s">
        <v>26</v>
      </c>
      <c r="E240" s="20" t="s">
        <v>27</v>
      </c>
      <c r="F240" s="21">
        <v>1245.93</v>
      </c>
      <c r="G240" s="21">
        <v>131.76</v>
      </c>
      <c r="H240" s="22">
        <v>0.05</v>
      </c>
      <c r="I240" s="20">
        <v>12</v>
      </c>
      <c r="J240" s="23">
        <v>45340</v>
      </c>
      <c r="K240" s="20">
        <v>2</v>
      </c>
      <c r="L240" s="20">
        <v>2024</v>
      </c>
    </row>
    <row r="241" spans="1:12" x14ac:dyDescent="0.3">
      <c r="A241" s="16" t="s">
        <v>325</v>
      </c>
      <c r="B241" s="16" t="s">
        <v>71</v>
      </c>
      <c r="C241" s="16" t="s">
        <v>15</v>
      </c>
      <c r="D241" s="16" t="s">
        <v>48</v>
      </c>
      <c r="E241" s="16" t="s">
        <v>31</v>
      </c>
      <c r="F241" s="17">
        <v>2465.94</v>
      </c>
      <c r="G241" s="17">
        <v>423.86</v>
      </c>
      <c r="H241" s="18">
        <v>0.15</v>
      </c>
      <c r="I241" s="16">
        <v>5</v>
      </c>
      <c r="J241" s="19">
        <v>45647</v>
      </c>
      <c r="K241" s="16">
        <v>12</v>
      </c>
      <c r="L241" s="16">
        <v>2024</v>
      </c>
    </row>
    <row r="242" spans="1:12" x14ac:dyDescent="0.3">
      <c r="A242" s="20" t="s">
        <v>326</v>
      </c>
      <c r="B242" s="20" t="s">
        <v>112</v>
      </c>
      <c r="C242" s="20" t="s">
        <v>41</v>
      </c>
      <c r="D242" s="20" t="s">
        <v>57</v>
      </c>
      <c r="E242" s="20" t="s">
        <v>17</v>
      </c>
      <c r="F242" s="21">
        <v>2035.9</v>
      </c>
      <c r="G242" s="21">
        <v>315.83</v>
      </c>
      <c r="H242" s="22">
        <v>0.2</v>
      </c>
      <c r="I242" s="20">
        <v>18</v>
      </c>
      <c r="J242" s="23">
        <v>44893</v>
      </c>
      <c r="K242" s="20">
        <v>11</v>
      </c>
      <c r="L242" s="20">
        <v>2022</v>
      </c>
    </row>
    <row r="243" spans="1:12" x14ac:dyDescent="0.3">
      <c r="A243" s="16" t="s">
        <v>327</v>
      </c>
      <c r="B243" s="16" t="s">
        <v>131</v>
      </c>
      <c r="C243" s="16" t="s">
        <v>15</v>
      </c>
      <c r="D243" s="16" t="s">
        <v>30</v>
      </c>
      <c r="E243" s="16" t="s">
        <v>31</v>
      </c>
      <c r="F243" s="17">
        <v>4965.66</v>
      </c>
      <c r="G243" s="17">
        <v>922.46</v>
      </c>
      <c r="H243" s="18">
        <v>0.2</v>
      </c>
      <c r="I243" s="16">
        <v>8</v>
      </c>
      <c r="J243" s="19">
        <v>44571</v>
      </c>
      <c r="K243" s="16">
        <v>1</v>
      </c>
      <c r="L243" s="16">
        <v>2022</v>
      </c>
    </row>
    <row r="244" spans="1:12" x14ac:dyDescent="0.3">
      <c r="A244" s="20" t="s">
        <v>328</v>
      </c>
      <c r="B244" s="20" t="s">
        <v>265</v>
      </c>
      <c r="C244" s="20" t="s">
        <v>25</v>
      </c>
      <c r="D244" s="20" t="s">
        <v>38</v>
      </c>
      <c r="E244" s="20" t="s">
        <v>22</v>
      </c>
      <c r="F244" s="21">
        <v>2753.28</v>
      </c>
      <c r="G244" s="21">
        <v>401.13</v>
      </c>
      <c r="H244" s="22">
        <v>0.1</v>
      </c>
      <c r="I244" s="20">
        <v>12</v>
      </c>
      <c r="J244" s="23">
        <v>44688</v>
      </c>
      <c r="K244" s="20">
        <v>5</v>
      </c>
      <c r="L244" s="20">
        <v>2022</v>
      </c>
    </row>
    <row r="245" spans="1:12" x14ac:dyDescent="0.3">
      <c r="A245" s="16" t="s">
        <v>329</v>
      </c>
      <c r="B245" s="16" t="s">
        <v>80</v>
      </c>
      <c r="C245" s="16" t="s">
        <v>15</v>
      </c>
      <c r="D245" s="16" t="s">
        <v>53</v>
      </c>
      <c r="E245" s="16" t="s">
        <v>31</v>
      </c>
      <c r="F245" s="17">
        <v>3368.95</v>
      </c>
      <c r="G245" s="17">
        <v>736.57</v>
      </c>
      <c r="H245" s="18">
        <v>0.25</v>
      </c>
      <c r="I245" s="16">
        <v>1</v>
      </c>
      <c r="J245" s="19">
        <v>44654</v>
      </c>
      <c r="K245" s="16">
        <v>4</v>
      </c>
      <c r="L245" s="16">
        <v>2022</v>
      </c>
    </row>
    <row r="246" spans="1:12" x14ac:dyDescent="0.3">
      <c r="A246" s="20" t="s">
        <v>330</v>
      </c>
      <c r="B246" s="20" t="s">
        <v>174</v>
      </c>
      <c r="C246" s="20" t="s">
        <v>25</v>
      </c>
      <c r="D246" s="20" t="s">
        <v>53</v>
      </c>
      <c r="E246" s="20" t="s">
        <v>31</v>
      </c>
      <c r="F246" s="21">
        <v>2342.92</v>
      </c>
      <c r="G246" s="21">
        <v>358.76</v>
      </c>
      <c r="H246" s="22">
        <v>0.05</v>
      </c>
      <c r="I246" s="20">
        <v>2</v>
      </c>
      <c r="J246" s="23">
        <v>45146</v>
      </c>
      <c r="K246" s="20">
        <v>8</v>
      </c>
      <c r="L246" s="20">
        <v>2023</v>
      </c>
    </row>
    <row r="247" spans="1:12" x14ac:dyDescent="0.3">
      <c r="A247" s="16" t="s">
        <v>331</v>
      </c>
      <c r="B247" s="16" t="s">
        <v>227</v>
      </c>
      <c r="C247" s="16" t="s">
        <v>47</v>
      </c>
      <c r="D247" s="16" t="s">
        <v>16</v>
      </c>
      <c r="E247" s="16" t="s">
        <v>17</v>
      </c>
      <c r="F247" s="17">
        <v>4345.91</v>
      </c>
      <c r="G247" s="17">
        <v>557.5</v>
      </c>
      <c r="H247" s="18">
        <v>0.05</v>
      </c>
      <c r="I247" s="16">
        <v>10</v>
      </c>
      <c r="J247" s="19">
        <v>44914</v>
      </c>
      <c r="K247" s="16">
        <v>12</v>
      </c>
      <c r="L247" s="16">
        <v>2022</v>
      </c>
    </row>
    <row r="248" spans="1:12" x14ac:dyDescent="0.3">
      <c r="A248" s="20" t="s">
        <v>332</v>
      </c>
      <c r="B248" s="20" t="s">
        <v>24</v>
      </c>
      <c r="C248" s="20" t="s">
        <v>25</v>
      </c>
      <c r="D248" s="20" t="s">
        <v>30</v>
      </c>
      <c r="E248" s="20" t="s">
        <v>31</v>
      </c>
      <c r="F248" s="21">
        <v>3908.18</v>
      </c>
      <c r="G248" s="21">
        <v>528.94000000000005</v>
      </c>
      <c r="H248" s="22">
        <v>0.15</v>
      </c>
      <c r="I248" s="20">
        <v>5</v>
      </c>
      <c r="J248" s="23">
        <v>45543</v>
      </c>
      <c r="K248" s="20">
        <v>9</v>
      </c>
      <c r="L248" s="20">
        <v>2024</v>
      </c>
    </row>
    <row r="249" spans="1:12" x14ac:dyDescent="0.3">
      <c r="A249" s="16" t="s">
        <v>333</v>
      </c>
      <c r="B249" s="16" t="s">
        <v>56</v>
      </c>
      <c r="C249" s="16" t="s">
        <v>41</v>
      </c>
      <c r="D249" s="16" t="s">
        <v>57</v>
      </c>
      <c r="E249" s="16" t="s">
        <v>17</v>
      </c>
      <c r="F249" s="17">
        <v>492.6</v>
      </c>
      <c r="G249" s="17">
        <v>118.2</v>
      </c>
      <c r="H249" s="18">
        <v>0.25</v>
      </c>
      <c r="I249" s="16">
        <v>6</v>
      </c>
      <c r="J249" s="19">
        <v>45610</v>
      </c>
      <c r="K249" s="16">
        <v>11</v>
      </c>
      <c r="L249" s="16">
        <v>2024</v>
      </c>
    </row>
    <row r="250" spans="1:12" x14ac:dyDescent="0.3">
      <c r="A250" s="20" t="s">
        <v>334</v>
      </c>
      <c r="B250" s="20" t="s">
        <v>63</v>
      </c>
      <c r="C250" s="20" t="s">
        <v>20</v>
      </c>
      <c r="D250" s="20" t="s">
        <v>16</v>
      </c>
      <c r="E250" s="20" t="s">
        <v>17</v>
      </c>
      <c r="F250" s="21">
        <v>4866.99</v>
      </c>
      <c r="G250" s="21">
        <v>1154.26</v>
      </c>
      <c r="H250" s="22">
        <v>0.2</v>
      </c>
      <c r="I250" s="20">
        <v>11</v>
      </c>
      <c r="J250" s="23">
        <v>45487</v>
      </c>
      <c r="K250" s="20">
        <v>7</v>
      </c>
      <c r="L250" s="20">
        <v>2024</v>
      </c>
    </row>
    <row r="251" spans="1:12" x14ac:dyDescent="0.3">
      <c r="A251" s="16" t="s">
        <v>335</v>
      </c>
      <c r="B251" s="16" t="s">
        <v>110</v>
      </c>
      <c r="C251" s="16" t="s">
        <v>41</v>
      </c>
      <c r="D251" s="16" t="s">
        <v>21</v>
      </c>
      <c r="E251" s="16" t="s">
        <v>22</v>
      </c>
      <c r="F251" s="17">
        <v>1082.6199999999999</v>
      </c>
      <c r="G251" s="17">
        <v>177.32</v>
      </c>
      <c r="H251" s="18">
        <v>0.25</v>
      </c>
      <c r="I251" s="16">
        <v>8</v>
      </c>
      <c r="J251" s="19">
        <v>45265</v>
      </c>
      <c r="K251" s="16">
        <v>12</v>
      </c>
      <c r="L251" s="16">
        <v>2023</v>
      </c>
    </row>
    <row r="252" spans="1:12" x14ac:dyDescent="0.3">
      <c r="A252" s="20" t="s">
        <v>336</v>
      </c>
      <c r="B252" s="20" t="s">
        <v>24</v>
      </c>
      <c r="C252" s="20" t="s">
        <v>15</v>
      </c>
      <c r="D252" s="20" t="s">
        <v>38</v>
      </c>
      <c r="E252" s="20" t="s">
        <v>22</v>
      </c>
      <c r="F252" s="21">
        <v>2180.85</v>
      </c>
      <c r="G252" s="21">
        <v>417.54</v>
      </c>
      <c r="H252" s="22">
        <v>0.2</v>
      </c>
      <c r="I252" s="20">
        <v>5</v>
      </c>
      <c r="J252" s="23">
        <v>45025</v>
      </c>
      <c r="K252" s="20">
        <v>4</v>
      </c>
      <c r="L252" s="20">
        <v>2023</v>
      </c>
    </row>
    <row r="253" spans="1:12" x14ac:dyDescent="0.3">
      <c r="A253" s="16" t="s">
        <v>337</v>
      </c>
      <c r="B253" s="16" t="s">
        <v>96</v>
      </c>
      <c r="C253" s="16" t="s">
        <v>41</v>
      </c>
      <c r="D253" s="16" t="s">
        <v>42</v>
      </c>
      <c r="E253" s="16" t="s">
        <v>22</v>
      </c>
      <c r="F253" s="17">
        <v>579.54</v>
      </c>
      <c r="G253" s="17">
        <v>144.55000000000001</v>
      </c>
      <c r="H253" s="18">
        <v>0.2</v>
      </c>
      <c r="I253" s="16">
        <v>3</v>
      </c>
      <c r="J253" s="19">
        <v>45653</v>
      </c>
      <c r="K253" s="16">
        <v>12</v>
      </c>
      <c r="L253" s="16">
        <v>2024</v>
      </c>
    </row>
    <row r="254" spans="1:12" x14ac:dyDescent="0.3">
      <c r="A254" s="20" t="s">
        <v>338</v>
      </c>
      <c r="B254" s="20" t="s">
        <v>56</v>
      </c>
      <c r="C254" s="20" t="s">
        <v>15</v>
      </c>
      <c r="D254" s="20" t="s">
        <v>42</v>
      </c>
      <c r="E254" s="20" t="s">
        <v>22</v>
      </c>
      <c r="F254" s="21">
        <v>2010.41</v>
      </c>
      <c r="G254" s="21">
        <v>378.05</v>
      </c>
      <c r="H254" s="22">
        <v>0.25</v>
      </c>
      <c r="I254" s="20">
        <v>3</v>
      </c>
      <c r="J254" s="23">
        <v>44858</v>
      </c>
      <c r="K254" s="20">
        <v>10</v>
      </c>
      <c r="L254" s="20">
        <v>2022</v>
      </c>
    </row>
    <row r="255" spans="1:12" x14ac:dyDescent="0.3">
      <c r="A255" s="16" t="s">
        <v>339</v>
      </c>
      <c r="B255" s="16" t="s">
        <v>309</v>
      </c>
      <c r="C255" s="16" t="s">
        <v>47</v>
      </c>
      <c r="D255" s="16" t="s">
        <v>16</v>
      </c>
      <c r="E255" s="16" t="s">
        <v>17</v>
      </c>
      <c r="F255" s="17">
        <v>1202.67</v>
      </c>
      <c r="G255" s="17">
        <v>179.71</v>
      </c>
      <c r="H255" s="18">
        <v>0.15</v>
      </c>
      <c r="I255" s="16">
        <v>1</v>
      </c>
      <c r="J255" s="19">
        <v>44675</v>
      </c>
      <c r="K255" s="16">
        <v>4</v>
      </c>
      <c r="L255" s="16">
        <v>2022</v>
      </c>
    </row>
    <row r="256" spans="1:12" x14ac:dyDescent="0.3">
      <c r="A256" s="20" t="s">
        <v>340</v>
      </c>
      <c r="B256" s="20" t="s">
        <v>177</v>
      </c>
      <c r="C256" s="20" t="s">
        <v>20</v>
      </c>
      <c r="D256" s="20" t="s">
        <v>53</v>
      </c>
      <c r="E256" s="20" t="s">
        <v>31</v>
      </c>
      <c r="F256" s="21">
        <v>1364.45</v>
      </c>
      <c r="G256" s="21">
        <v>282.38</v>
      </c>
      <c r="H256" s="22">
        <v>0.25</v>
      </c>
      <c r="I256" s="20">
        <v>13</v>
      </c>
      <c r="J256" s="23">
        <v>44815</v>
      </c>
      <c r="K256" s="20">
        <v>9</v>
      </c>
      <c r="L256" s="20">
        <v>2022</v>
      </c>
    </row>
    <row r="257" spans="1:12" x14ac:dyDescent="0.3">
      <c r="A257" s="16" t="s">
        <v>341</v>
      </c>
      <c r="B257" s="16" t="s">
        <v>117</v>
      </c>
      <c r="C257" s="16" t="s">
        <v>20</v>
      </c>
      <c r="D257" s="16" t="s">
        <v>26</v>
      </c>
      <c r="E257" s="16" t="s">
        <v>27</v>
      </c>
      <c r="F257" s="17">
        <v>2761.52</v>
      </c>
      <c r="G257" s="17">
        <v>415.72</v>
      </c>
      <c r="H257" s="18">
        <v>0.15</v>
      </c>
      <c r="I257" s="16">
        <v>12</v>
      </c>
      <c r="J257" s="19">
        <v>45519</v>
      </c>
      <c r="K257" s="16">
        <v>8</v>
      </c>
      <c r="L257" s="16">
        <v>2024</v>
      </c>
    </row>
    <row r="258" spans="1:12" x14ac:dyDescent="0.3">
      <c r="A258" s="20" t="s">
        <v>342</v>
      </c>
      <c r="B258" s="20" t="s">
        <v>227</v>
      </c>
      <c r="C258" s="20" t="s">
        <v>20</v>
      </c>
      <c r="D258" s="20" t="s">
        <v>53</v>
      </c>
      <c r="E258" s="20" t="s">
        <v>31</v>
      </c>
      <c r="F258" s="21">
        <v>4230.71</v>
      </c>
      <c r="G258" s="21">
        <v>733.64</v>
      </c>
      <c r="H258" s="22">
        <v>0.1</v>
      </c>
      <c r="I258" s="20">
        <v>14</v>
      </c>
      <c r="J258" s="23">
        <v>44862</v>
      </c>
      <c r="K258" s="20">
        <v>10</v>
      </c>
      <c r="L258" s="20">
        <v>2022</v>
      </c>
    </row>
    <row r="259" spans="1:12" x14ac:dyDescent="0.3">
      <c r="A259" s="16" t="s">
        <v>343</v>
      </c>
      <c r="B259" s="16" t="s">
        <v>29</v>
      </c>
      <c r="C259" s="16" t="s">
        <v>47</v>
      </c>
      <c r="D259" s="16" t="s">
        <v>42</v>
      </c>
      <c r="E259" s="16" t="s">
        <v>22</v>
      </c>
      <c r="F259" s="17">
        <v>1451.72</v>
      </c>
      <c r="G259" s="17">
        <v>266.52</v>
      </c>
      <c r="H259" s="18">
        <v>0.25</v>
      </c>
      <c r="I259" s="16">
        <v>14</v>
      </c>
      <c r="J259" s="19">
        <v>44992</v>
      </c>
      <c r="K259" s="16">
        <v>3</v>
      </c>
      <c r="L259" s="16">
        <v>2023</v>
      </c>
    </row>
    <row r="260" spans="1:12" x14ac:dyDescent="0.3">
      <c r="A260" s="20" t="s">
        <v>344</v>
      </c>
      <c r="B260" s="20" t="s">
        <v>110</v>
      </c>
      <c r="C260" s="20" t="s">
        <v>47</v>
      </c>
      <c r="D260" s="20" t="s">
        <v>30</v>
      </c>
      <c r="E260" s="20" t="s">
        <v>31</v>
      </c>
      <c r="F260" s="21">
        <v>2934.99</v>
      </c>
      <c r="G260" s="21">
        <v>593.87</v>
      </c>
      <c r="H260" s="22">
        <v>0.1</v>
      </c>
      <c r="I260" s="20">
        <v>11</v>
      </c>
      <c r="J260" s="23">
        <v>45162</v>
      </c>
      <c r="K260" s="20">
        <v>8</v>
      </c>
      <c r="L260" s="20">
        <v>2023</v>
      </c>
    </row>
    <row r="261" spans="1:12" x14ac:dyDescent="0.3">
      <c r="A261" s="16" t="s">
        <v>345</v>
      </c>
      <c r="B261" s="16" t="s">
        <v>37</v>
      </c>
      <c r="C261" s="16" t="s">
        <v>20</v>
      </c>
      <c r="D261" s="16" t="s">
        <v>38</v>
      </c>
      <c r="E261" s="16" t="s">
        <v>22</v>
      </c>
      <c r="F261" s="17">
        <v>3717.31</v>
      </c>
      <c r="G261" s="17">
        <v>449.68</v>
      </c>
      <c r="H261" s="18">
        <v>0.15</v>
      </c>
      <c r="I261" s="16">
        <v>18</v>
      </c>
      <c r="J261" s="19">
        <v>45003</v>
      </c>
      <c r="K261" s="16">
        <v>3</v>
      </c>
      <c r="L261" s="16">
        <v>2023</v>
      </c>
    </row>
    <row r="262" spans="1:12" x14ac:dyDescent="0.3">
      <c r="A262" s="20" t="s">
        <v>346</v>
      </c>
      <c r="B262" s="20" t="s">
        <v>174</v>
      </c>
      <c r="C262" s="20" t="s">
        <v>25</v>
      </c>
      <c r="D262" s="20" t="s">
        <v>48</v>
      </c>
      <c r="E262" s="20" t="s">
        <v>31</v>
      </c>
      <c r="F262" s="21">
        <v>4227.53</v>
      </c>
      <c r="G262" s="21">
        <v>1350.62</v>
      </c>
      <c r="H262" s="22">
        <v>0.05</v>
      </c>
      <c r="I262" s="20">
        <v>2</v>
      </c>
      <c r="J262" s="23">
        <v>44747</v>
      </c>
      <c r="K262" s="20">
        <v>7</v>
      </c>
      <c r="L262" s="20">
        <v>2022</v>
      </c>
    </row>
    <row r="263" spans="1:12" x14ac:dyDescent="0.3">
      <c r="A263" s="16" t="s">
        <v>347</v>
      </c>
      <c r="B263" s="16" t="s">
        <v>101</v>
      </c>
      <c r="C263" s="16" t="s">
        <v>15</v>
      </c>
      <c r="D263" s="16" t="s">
        <v>42</v>
      </c>
      <c r="E263" s="16" t="s">
        <v>22</v>
      </c>
      <c r="F263" s="17">
        <v>924.94</v>
      </c>
      <c r="G263" s="17">
        <v>188.49</v>
      </c>
      <c r="H263" s="18">
        <v>0.1</v>
      </c>
      <c r="I263" s="16">
        <v>12</v>
      </c>
      <c r="J263" s="19">
        <v>44855</v>
      </c>
      <c r="K263" s="16">
        <v>10</v>
      </c>
      <c r="L263" s="16">
        <v>2022</v>
      </c>
    </row>
    <row r="264" spans="1:12" x14ac:dyDescent="0.3">
      <c r="A264" s="20" t="s">
        <v>348</v>
      </c>
      <c r="B264" s="20" t="s">
        <v>52</v>
      </c>
      <c r="C264" s="20" t="s">
        <v>20</v>
      </c>
      <c r="D264" s="20" t="s">
        <v>34</v>
      </c>
      <c r="E264" s="20" t="s">
        <v>35</v>
      </c>
      <c r="F264" s="21">
        <v>2541.6999999999998</v>
      </c>
      <c r="G264" s="21">
        <v>562.73</v>
      </c>
      <c r="H264" s="22">
        <v>0.05</v>
      </c>
      <c r="I264" s="20">
        <v>14</v>
      </c>
      <c r="J264" s="23">
        <v>44578</v>
      </c>
      <c r="K264" s="20">
        <v>1</v>
      </c>
      <c r="L264" s="20">
        <v>2022</v>
      </c>
    </row>
    <row r="265" spans="1:12" x14ac:dyDescent="0.3">
      <c r="A265" s="16" t="s">
        <v>349</v>
      </c>
      <c r="B265" s="16" t="s">
        <v>98</v>
      </c>
      <c r="C265" s="16" t="s">
        <v>25</v>
      </c>
      <c r="D265" s="16" t="s">
        <v>26</v>
      </c>
      <c r="E265" s="16" t="s">
        <v>27</v>
      </c>
      <c r="F265" s="17">
        <v>282.27999999999997</v>
      </c>
      <c r="G265" s="17">
        <v>68.099999999999994</v>
      </c>
      <c r="H265" s="18">
        <v>0.2</v>
      </c>
      <c r="I265" s="16">
        <v>6</v>
      </c>
      <c r="J265" s="19">
        <v>44609</v>
      </c>
      <c r="K265" s="16">
        <v>2</v>
      </c>
      <c r="L265" s="16">
        <v>2022</v>
      </c>
    </row>
    <row r="266" spans="1:12" x14ac:dyDescent="0.3">
      <c r="A266" s="20" t="s">
        <v>350</v>
      </c>
      <c r="B266" s="20" t="s">
        <v>120</v>
      </c>
      <c r="C266" s="20" t="s">
        <v>47</v>
      </c>
      <c r="D266" s="20" t="s">
        <v>21</v>
      </c>
      <c r="E266" s="20" t="s">
        <v>22</v>
      </c>
      <c r="F266" s="21">
        <v>3174.95</v>
      </c>
      <c r="G266" s="21">
        <v>819.88</v>
      </c>
      <c r="H266" s="22">
        <v>0.15</v>
      </c>
      <c r="I266" s="20">
        <v>9</v>
      </c>
      <c r="J266" s="23">
        <v>44969</v>
      </c>
      <c r="K266" s="20">
        <v>2</v>
      </c>
      <c r="L266" s="20">
        <v>2023</v>
      </c>
    </row>
    <row r="267" spans="1:12" x14ac:dyDescent="0.3">
      <c r="A267" s="16" t="s">
        <v>351</v>
      </c>
      <c r="B267" s="16" t="s">
        <v>94</v>
      </c>
      <c r="C267" s="16" t="s">
        <v>20</v>
      </c>
      <c r="D267" s="16" t="s">
        <v>57</v>
      </c>
      <c r="E267" s="16" t="s">
        <v>17</v>
      </c>
      <c r="F267" s="17">
        <v>1367.4</v>
      </c>
      <c r="G267" s="17">
        <v>215.36</v>
      </c>
      <c r="H267" s="18">
        <v>0.1</v>
      </c>
      <c r="I267" s="16">
        <v>3</v>
      </c>
      <c r="J267" s="19">
        <v>45621</v>
      </c>
      <c r="K267" s="16">
        <v>11</v>
      </c>
      <c r="L267" s="16">
        <v>2024</v>
      </c>
    </row>
    <row r="268" spans="1:12" x14ac:dyDescent="0.3">
      <c r="A268" s="20" t="s">
        <v>352</v>
      </c>
      <c r="B268" s="20" t="s">
        <v>40</v>
      </c>
      <c r="C268" s="20" t="s">
        <v>15</v>
      </c>
      <c r="D268" s="20" t="s">
        <v>48</v>
      </c>
      <c r="E268" s="20" t="s">
        <v>31</v>
      </c>
      <c r="F268" s="21">
        <v>2020.47</v>
      </c>
      <c r="G268" s="21">
        <v>331.86</v>
      </c>
      <c r="H268" s="22">
        <v>0.25</v>
      </c>
      <c r="I268" s="20">
        <v>1</v>
      </c>
      <c r="J268" s="23">
        <v>45354</v>
      </c>
      <c r="K268" s="20">
        <v>3</v>
      </c>
      <c r="L268" s="20">
        <v>2024</v>
      </c>
    </row>
    <row r="269" spans="1:12" x14ac:dyDescent="0.3">
      <c r="A269" s="16" t="s">
        <v>353</v>
      </c>
      <c r="B269" s="16" t="s">
        <v>96</v>
      </c>
      <c r="C269" s="16" t="s">
        <v>20</v>
      </c>
      <c r="D269" s="16" t="s">
        <v>38</v>
      </c>
      <c r="E269" s="16" t="s">
        <v>22</v>
      </c>
      <c r="F269" s="17">
        <v>3965.01</v>
      </c>
      <c r="G269" s="17">
        <v>1023.96</v>
      </c>
      <c r="H269" s="18">
        <v>0.25</v>
      </c>
      <c r="I269" s="16">
        <v>4</v>
      </c>
      <c r="J269" s="19">
        <v>45299</v>
      </c>
      <c r="K269" s="16">
        <v>1</v>
      </c>
      <c r="L269" s="16">
        <v>2024</v>
      </c>
    </row>
    <row r="270" spans="1:12" x14ac:dyDescent="0.3">
      <c r="A270" s="20" t="s">
        <v>354</v>
      </c>
      <c r="B270" s="20" t="s">
        <v>309</v>
      </c>
      <c r="C270" s="20" t="s">
        <v>25</v>
      </c>
      <c r="D270" s="20" t="s">
        <v>42</v>
      </c>
      <c r="E270" s="20" t="s">
        <v>22</v>
      </c>
      <c r="F270" s="21">
        <v>1501.26</v>
      </c>
      <c r="G270" s="21">
        <v>386.65</v>
      </c>
      <c r="H270" s="22">
        <v>0.05</v>
      </c>
      <c r="I270" s="20">
        <v>9</v>
      </c>
      <c r="J270" s="23">
        <v>45587</v>
      </c>
      <c r="K270" s="20">
        <v>10</v>
      </c>
      <c r="L270" s="20">
        <v>2024</v>
      </c>
    </row>
    <row r="271" spans="1:12" x14ac:dyDescent="0.3">
      <c r="A271" s="16" t="s">
        <v>355</v>
      </c>
      <c r="B271" s="16" t="s">
        <v>71</v>
      </c>
      <c r="C271" s="16" t="s">
        <v>47</v>
      </c>
      <c r="D271" s="16" t="s">
        <v>48</v>
      </c>
      <c r="E271" s="16" t="s">
        <v>31</v>
      </c>
      <c r="F271" s="17">
        <v>4282.05</v>
      </c>
      <c r="G271" s="17">
        <v>1384.6</v>
      </c>
      <c r="H271" s="18">
        <v>0.05</v>
      </c>
      <c r="I271" s="16">
        <v>19</v>
      </c>
      <c r="J271" s="19">
        <v>44922</v>
      </c>
      <c r="K271" s="16">
        <v>12</v>
      </c>
      <c r="L271" s="16">
        <v>2022</v>
      </c>
    </row>
    <row r="272" spans="1:12" x14ac:dyDescent="0.3">
      <c r="A272" s="20" t="s">
        <v>356</v>
      </c>
      <c r="B272" s="20" t="s">
        <v>83</v>
      </c>
      <c r="C272" s="20" t="s">
        <v>15</v>
      </c>
      <c r="D272" s="20" t="s">
        <v>57</v>
      </c>
      <c r="E272" s="20" t="s">
        <v>17</v>
      </c>
      <c r="F272" s="21">
        <v>979.76</v>
      </c>
      <c r="G272" s="21">
        <v>213.1</v>
      </c>
      <c r="H272" s="22">
        <v>0.1</v>
      </c>
      <c r="I272" s="20">
        <v>13</v>
      </c>
      <c r="J272" s="23">
        <v>45546</v>
      </c>
      <c r="K272" s="20">
        <v>9</v>
      </c>
      <c r="L272" s="20">
        <v>2024</v>
      </c>
    </row>
    <row r="273" spans="1:12" x14ac:dyDescent="0.3">
      <c r="A273" s="16" t="s">
        <v>357</v>
      </c>
      <c r="B273" s="16" t="s">
        <v>127</v>
      </c>
      <c r="C273" s="16" t="s">
        <v>47</v>
      </c>
      <c r="D273" s="16" t="s">
        <v>57</v>
      </c>
      <c r="E273" s="16" t="s">
        <v>17</v>
      </c>
      <c r="F273" s="17">
        <v>4944.6899999999996</v>
      </c>
      <c r="G273" s="17">
        <v>1057.8599999999999</v>
      </c>
      <c r="H273" s="18">
        <v>0.05</v>
      </c>
      <c r="I273" s="16">
        <v>12</v>
      </c>
      <c r="J273" s="19">
        <v>44606</v>
      </c>
      <c r="K273" s="16">
        <v>2</v>
      </c>
      <c r="L273" s="16">
        <v>2022</v>
      </c>
    </row>
    <row r="274" spans="1:12" x14ac:dyDescent="0.3">
      <c r="A274" s="20" t="s">
        <v>358</v>
      </c>
      <c r="B274" s="20" t="s">
        <v>44</v>
      </c>
      <c r="C274" s="20" t="s">
        <v>15</v>
      </c>
      <c r="D274" s="20" t="s">
        <v>42</v>
      </c>
      <c r="E274" s="20" t="s">
        <v>22</v>
      </c>
      <c r="F274" s="21">
        <v>3104.81</v>
      </c>
      <c r="G274" s="21">
        <v>788.73</v>
      </c>
      <c r="H274" s="22">
        <v>0.25</v>
      </c>
      <c r="I274" s="20">
        <v>13</v>
      </c>
      <c r="J274" s="23">
        <v>44947</v>
      </c>
      <c r="K274" s="20">
        <v>1</v>
      </c>
      <c r="L274" s="20">
        <v>2023</v>
      </c>
    </row>
    <row r="275" spans="1:12" x14ac:dyDescent="0.3">
      <c r="A275" s="16" t="s">
        <v>359</v>
      </c>
      <c r="B275" s="16" t="s">
        <v>216</v>
      </c>
      <c r="C275" s="16" t="s">
        <v>20</v>
      </c>
      <c r="D275" s="16" t="s">
        <v>26</v>
      </c>
      <c r="E275" s="16" t="s">
        <v>27</v>
      </c>
      <c r="F275" s="17">
        <v>1295.06</v>
      </c>
      <c r="G275" s="17">
        <v>325.66000000000003</v>
      </c>
      <c r="H275" s="18">
        <v>0.25</v>
      </c>
      <c r="I275" s="16">
        <v>14</v>
      </c>
      <c r="J275" s="19">
        <v>44884</v>
      </c>
      <c r="K275" s="16">
        <v>11</v>
      </c>
      <c r="L275" s="16">
        <v>2022</v>
      </c>
    </row>
    <row r="276" spans="1:12" x14ac:dyDescent="0.3">
      <c r="A276" s="20" t="s">
        <v>360</v>
      </c>
      <c r="B276" s="20" t="s">
        <v>46</v>
      </c>
      <c r="C276" s="20" t="s">
        <v>15</v>
      </c>
      <c r="D276" s="20" t="s">
        <v>57</v>
      </c>
      <c r="E276" s="20" t="s">
        <v>17</v>
      </c>
      <c r="F276" s="21">
        <v>3169.36</v>
      </c>
      <c r="G276" s="21">
        <v>793.76</v>
      </c>
      <c r="H276" s="22">
        <v>0.1</v>
      </c>
      <c r="I276" s="20">
        <v>3</v>
      </c>
      <c r="J276" s="23">
        <v>44998</v>
      </c>
      <c r="K276" s="20">
        <v>3</v>
      </c>
      <c r="L276" s="20">
        <v>2023</v>
      </c>
    </row>
    <row r="277" spans="1:12" x14ac:dyDescent="0.3">
      <c r="A277" s="16" t="s">
        <v>361</v>
      </c>
      <c r="B277" s="16" t="s">
        <v>91</v>
      </c>
      <c r="C277" s="16" t="s">
        <v>20</v>
      </c>
      <c r="D277" s="16" t="s">
        <v>21</v>
      </c>
      <c r="E277" s="16" t="s">
        <v>22</v>
      </c>
      <c r="F277" s="17">
        <v>1931.36</v>
      </c>
      <c r="G277" s="17">
        <v>185.86</v>
      </c>
      <c r="H277" s="18">
        <v>0.05</v>
      </c>
      <c r="I277" s="16">
        <v>10</v>
      </c>
      <c r="J277" s="19">
        <v>45102</v>
      </c>
      <c r="K277" s="16">
        <v>6</v>
      </c>
      <c r="L277" s="16">
        <v>2023</v>
      </c>
    </row>
    <row r="278" spans="1:12" x14ac:dyDescent="0.3">
      <c r="A278" s="20" t="s">
        <v>362</v>
      </c>
      <c r="B278" s="20" t="s">
        <v>50</v>
      </c>
      <c r="C278" s="20" t="s">
        <v>15</v>
      </c>
      <c r="D278" s="20" t="s">
        <v>26</v>
      </c>
      <c r="E278" s="20" t="s">
        <v>27</v>
      </c>
      <c r="F278" s="21">
        <v>619.03</v>
      </c>
      <c r="G278" s="21">
        <v>105.09</v>
      </c>
      <c r="H278" s="22">
        <v>0.2</v>
      </c>
      <c r="I278" s="20">
        <v>18</v>
      </c>
      <c r="J278" s="23">
        <v>45477</v>
      </c>
      <c r="K278" s="20">
        <v>7</v>
      </c>
      <c r="L278" s="20">
        <v>2024</v>
      </c>
    </row>
    <row r="279" spans="1:12" x14ac:dyDescent="0.3">
      <c r="A279" s="16" t="s">
        <v>363</v>
      </c>
      <c r="B279" s="16" t="s">
        <v>85</v>
      </c>
      <c r="C279" s="16" t="s">
        <v>15</v>
      </c>
      <c r="D279" s="16" t="s">
        <v>48</v>
      </c>
      <c r="E279" s="16" t="s">
        <v>31</v>
      </c>
      <c r="F279" s="17">
        <v>2860.26</v>
      </c>
      <c r="G279" s="17">
        <v>535.25</v>
      </c>
      <c r="H279" s="18">
        <v>0.25</v>
      </c>
      <c r="I279" s="16">
        <v>11</v>
      </c>
      <c r="J279" s="19">
        <v>44936</v>
      </c>
      <c r="K279" s="16">
        <v>1</v>
      </c>
      <c r="L279" s="16">
        <v>2023</v>
      </c>
    </row>
    <row r="280" spans="1:12" x14ac:dyDescent="0.3">
      <c r="A280" s="20" t="s">
        <v>364</v>
      </c>
      <c r="B280" s="20" t="s">
        <v>46</v>
      </c>
      <c r="C280" s="20" t="s">
        <v>20</v>
      </c>
      <c r="D280" s="20" t="s">
        <v>57</v>
      </c>
      <c r="E280" s="20" t="s">
        <v>17</v>
      </c>
      <c r="F280" s="21">
        <v>606.55999999999995</v>
      </c>
      <c r="G280" s="21">
        <v>148.44</v>
      </c>
      <c r="H280" s="22">
        <v>0.25</v>
      </c>
      <c r="I280" s="20">
        <v>8</v>
      </c>
      <c r="J280" s="23">
        <v>45541</v>
      </c>
      <c r="K280" s="20">
        <v>9</v>
      </c>
      <c r="L280" s="20">
        <v>2024</v>
      </c>
    </row>
    <row r="281" spans="1:12" x14ac:dyDescent="0.3">
      <c r="A281" s="16" t="s">
        <v>365</v>
      </c>
      <c r="B281" s="16" t="s">
        <v>50</v>
      </c>
      <c r="C281" s="16" t="s">
        <v>47</v>
      </c>
      <c r="D281" s="16" t="s">
        <v>57</v>
      </c>
      <c r="E281" s="16" t="s">
        <v>17</v>
      </c>
      <c r="F281" s="17">
        <v>1490.81</v>
      </c>
      <c r="G281" s="17">
        <v>282.94</v>
      </c>
      <c r="H281" s="18">
        <v>0.15</v>
      </c>
      <c r="I281" s="16">
        <v>3</v>
      </c>
      <c r="J281" s="19">
        <v>44751</v>
      </c>
      <c r="K281" s="16">
        <v>7</v>
      </c>
      <c r="L281" s="16">
        <v>2022</v>
      </c>
    </row>
    <row r="282" spans="1:12" x14ac:dyDescent="0.3">
      <c r="A282" s="20" t="s">
        <v>366</v>
      </c>
      <c r="B282" s="20" t="s">
        <v>309</v>
      </c>
      <c r="C282" s="20" t="s">
        <v>41</v>
      </c>
      <c r="D282" s="20" t="s">
        <v>57</v>
      </c>
      <c r="E282" s="20" t="s">
        <v>17</v>
      </c>
      <c r="F282" s="21">
        <v>3956.8</v>
      </c>
      <c r="G282" s="21">
        <v>547.96</v>
      </c>
      <c r="H282" s="22">
        <v>0.15</v>
      </c>
      <c r="I282" s="20">
        <v>8</v>
      </c>
      <c r="J282" s="23">
        <v>45612</v>
      </c>
      <c r="K282" s="20">
        <v>11</v>
      </c>
      <c r="L282" s="20">
        <v>2024</v>
      </c>
    </row>
    <row r="283" spans="1:12" x14ac:dyDescent="0.3">
      <c r="A283" s="16" t="s">
        <v>367</v>
      </c>
      <c r="B283" s="16" t="s">
        <v>120</v>
      </c>
      <c r="C283" s="16" t="s">
        <v>25</v>
      </c>
      <c r="D283" s="16" t="s">
        <v>34</v>
      </c>
      <c r="E283" s="16" t="s">
        <v>35</v>
      </c>
      <c r="F283" s="17">
        <v>2397.7399999999998</v>
      </c>
      <c r="G283" s="17">
        <v>380.16</v>
      </c>
      <c r="H283" s="18">
        <v>0.1</v>
      </c>
      <c r="I283" s="16">
        <v>13</v>
      </c>
      <c r="J283" s="19">
        <v>45212</v>
      </c>
      <c r="K283" s="16">
        <v>10</v>
      </c>
      <c r="L283" s="16">
        <v>2023</v>
      </c>
    </row>
    <row r="284" spans="1:12" x14ac:dyDescent="0.3">
      <c r="A284" s="20" t="s">
        <v>368</v>
      </c>
      <c r="B284" s="20" t="s">
        <v>44</v>
      </c>
      <c r="C284" s="20" t="s">
        <v>20</v>
      </c>
      <c r="D284" s="20" t="s">
        <v>30</v>
      </c>
      <c r="E284" s="20" t="s">
        <v>31</v>
      </c>
      <c r="F284" s="21">
        <v>2266.96</v>
      </c>
      <c r="G284" s="21">
        <v>227.88</v>
      </c>
      <c r="H284" s="22">
        <v>0.25</v>
      </c>
      <c r="I284" s="20">
        <v>11</v>
      </c>
      <c r="J284" s="23">
        <v>45633</v>
      </c>
      <c r="K284" s="20">
        <v>12</v>
      </c>
      <c r="L284" s="20">
        <v>2024</v>
      </c>
    </row>
    <row r="285" spans="1:12" x14ac:dyDescent="0.3">
      <c r="A285" s="16" t="s">
        <v>369</v>
      </c>
      <c r="B285" s="16" t="s">
        <v>131</v>
      </c>
      <c r="C285" s="16" t="s">
        <v>41</v>
      </c>
      <c r="D285" s="16" t="s">
        <v>38</v>
      </c>
      <c r="E285" s="16" t="s">
        <v>22</v>
      </c>
      <c r="F285" s="17">
        <v>4829.96</v>
      </c>
      <c r="G285" s="17">
        <v>709.68</v>
      </c>
      <c r="H285" s="18">
        <v>0.15</v>
      </c>
      <c r="I285" s="16">
        <v>16</v>
      </c>
      <c r="J285" s="19">
        <v>45393</v>
      </c>
      <c r="K285" s="16">
        <v>4</v>
      </c>
      <c r="L285" s="16">
        <v>2024</v>
      </c>
    </row>
    <row r="286" spans="1:12" x14ac:dyDescent="0.3">
      <c r="A286" s="20" t="s">
        <v>370</v>
      </c>
      <c r="B286" s="20" t="s">
        <v>298</v>
      </c>
      <c r="C286" s="20" t="s">
        <v>41</v>
      </c>
      <c r="D286" s="20" t="s">
        <v>57</v>
      </c>
      <c r="E286" s="20" t="s">
        <v>17</v>
      </c>
      <c r="F286" s="21">
        <v>3972.16</v>
      </c>
      <c r="G286" s="21">
        <v>433.76</v>
      </c>
      <c r="H286" s="22">
        <v>0.15</v>
      </c>
      <c r="I286" s="20">
        <v>19</v>
      </c>
      <c r="J286" s="23">
        <v>44852</v>
      </c>
      <c r="K286" s="20">
        <v>10</v>
      </c>
      <c r="L286" s="20">
        <v>2022</v>
      </c>
    </row>
    <row r="287" spans="1:12" x14ac:dyDescent="0.3">
      <c r="A287" s="16" t="s">
        <v>371</v>
      </c>
      <c r="B287" s="16" t="s">
        <v>29</v>
      </c>
      <c r="C287" s="16" t="s">
        <v>25</v>
      </c>
      <c r="D287" s="16" t="s">
        <v>21</v>
      </c>
      <c r="E287" s="16" t="s">
        <v>22</v>
      </c>
      <c r="F287" s="17">
        <v>4774.42</v>
      </c>
      <c r="G287" s="17">
        <v>1282.3900000000001</v>
      </c>
      <c r="H287" s="18">
        <v>0.2</v>
      </c>
      <c r="I287" s="16">
        <v>7</v>
      </c>
      <c r="J287" s="19">
        <v>45073</v>
      </c>
      <c r="K287" s="16">
        <v>5</v>
      </c>
      <c r="L287" s="16">
        <v>2023</v>
      </c>
    </row>
    <row r="288" spans="1:12" x14ac:dyDescent="0.3">
      <c r="A288" s="20" t="s">
        <v>372</v>
      </c>
      <c r="B288" s="20" t="s">
        <v>14</v>
      </c>
      <c r="C288" s="20" t="s">
        <v>20</v>
      </c>
      <c r="D288" s="20" t="s">
        <v>53</v>
      </c>
      <c r="E288" s="20" t="s">
        <v>31</v>
      </c>
      <c r="F288" s="21">
        <v>2596.66</v>
      </c>
      <c r="G288" s="21">
        <v>354.26</v>
      </c>
      <c r="H288" s="22">
        <v>0.15</v>
      </c>
      <c r="I288" s="20">
        <v>5</v>
      </c>
      <c r="J288" s="23">
        <v>45499</v>
      </c>
      <c r="K288" s="20">
        <v>7</v>
      </c>
      <c r="L288" s="20">
        <v>2024</v>
      </c>
    </row>
    <row r="289" spans="1:12" x14ac:dyDescent="0.3">
      <c r="A289" s="16" t="s">
        <v>373</v>
      </c>
      <c r="B289" s="16" t="s">
        <v>69</v>
      </c>
      <c r="C289" s="16" t="s">
        <v>15</v>
      </c>
      <c r="D289" s="16" t="s">
        <v>57</v>
      </c>
      <c r="E289" s="16" t="s">
        <v>17</v>
      </c>
      <c r="F289" s="17">
        <v>4955.3599999999997</v>
      </c>
      <c r="G289" s="17">
        <v>973.47</v>
      </c>
      <c r="H289" s="18">
        <v>0.2</v>
      </c>
      <c r="I289" s="16">
        <v>18</v>
      </c>
      <c r="J289" s="19">
        <v>45640</v>
      </c>
      <c r="K289" s="16">
        <v>12</v>
      </c>
      <c r="L289" s="16">
        <v>2024</v>
      </c>
    </row>
    <row r="290" spans="1:12" x14ac:dyDescent="0.3">
      <c r="A290" s="20" t="s">
        <v>374</v>
      </c>
      <c r="B290" s="20" t="s">
        <v>127</v>
      </c>
      <c r="C290" s="20" t="s">
        <v>15</v>
      </c>
      <c r="D290" s="20" t="s">
        <v>16</v>
      </c>
      <c r="E290" s="20" t="s">
        <v>17</v>
      </c>
      <c r="F290" s="21">
        <v>4848.45</v>
      </c>
      <c r="G290" s="21">
        <v>903.47</v>
      </c>
      <c r="H290" s="22">
        <v>0.25</v>
      </c>
      <c r="I290" s="20">
        <v>3</v>
      </c>
      <c r="J290" s="23">
        <v>44673</v>
      </c>
      <c r="K290" s="20">
        <v>4</v>
      </c>
      <c r="L290" s="20">
        <v>2022</v>
      </c>
    </row>
    <row r="291" spans="1:12" x14ac:dyDescent="0.3">
      <c r="A291" s="16" t="s">
        <v>375</v>
      </c>
      <c r="B291" s="16" t="s">
        <v>96</v>
      </c>
      <c r="C291" s="16" t="s">
        <v>47</v>
      </c>
      <c r="D291" s="16" t="s">
        <v>30</v>
      </c>
      <c r="E291" s="16" t="s">
        <v>31</v>
      </c>
      <c r="F291" s="17">
        <v>3140.85</v>
      </c>
      <c r="G291" s="17">
        <v>814.82</v>
      </c>
      <c r="H291" s="18">
        <v>0.25</v>
      </c>
      <c r="I291" s="16">
        <v>13</v>
      </c>
      <c r="J291" s="19">
        <v>45111</v>
      </c>
      <c r="K291" s="16">
        <v>7</v>
      </c>
      <c r="L291" s="16">
        <v>2023</v>
      </c>
    </row>
    <row r="292" spans="1:12" x14ac:dyDescent="0.3">
      <c r="A292" s="20" t="s">
        <v>376</v>
      </c>
      <c r="B292" s="20" t="s">
        <v>63</v>
      </c>
      <c r="C292" s="20" t="s">
        <v>15</v>
      </c>
      <c r="D292" s="20" t="s">
        <v>48</v>
      </c>
      <c r="E292" s="20" t="s">
        <v>31</v>
      </c>
      <c r="F292" s="21">
        <v>1265.6099999999999</v>
      </c>
      <c r="G292" s="21">
        <v>227.33</v>
      </c>
      <c r="H292" s="22">
        <v>0.25</v>
      </c>
      <c r="I292" s="20">
        <v>19</v>
      </c>
      <c r="J292" s="23">
        <v>44785</v>
      </c>
      <c r="K292" s="20">
        <v>8</v>
      </c>
      <c r="L292" s="20">
        <v>2022</v>
      </c>
    </row>
    <row r="293" spans="1:12" x14ac:dyDescent="0.3">
      <c r="A293" s="16" t="s">
        <v>377</v>
      </c>
      <c r="B293" s="16" t="s">
        <v>46</v>
      </c>
      <c r="C293" s="16" t="s">
        <v>20</v>
      </c>
      <c r="D293" s="16" t="s">
        <v>57</v>
      </c>
      <c r="E293" s="16" t="s">
        <v>17</v>
      </c>
      <c r="F293" s="17">
        <v>3461.87</v>
      </c>
      <c r="G293" s="17">
        <v>357.49</v>
      </c>
      <c r="H293" s="18">
        <v>0.25</v>
      </c>
      <c r="I293" s="16">
        <v>1</v>
      </c>
      <c r="J293" s="19">
        <v>44967</v>
      </c>
      <c r="K293" s="16">
        <v>2</v>
      </c>
      <c r="L293" s="16">
        <v>2023</v>
      </c>
    </row>
    <row r="294" spans="1:12" x14ac:dyDescent="0.3">
      <c r="A294" s="20" t="s">
        <v>378</v>
      </c>
      <c r="B294" s="20" t="s">
        <v>222</v>
      </c>
      <c r="C294" s="20" t="s">
        <v>15</v>
      </c>
      <c r="D294" s="20" t="s">
        <v>57</v>
      </c>
      <c r="E294" s="20" t="s">
        <v>17</v>
      </c>
      <c r="F294" s="21">
        <v>4190.33</v>
      </c>
      <c r="G294" s="21">
        <v>705.54</v>
      </c>
      <c r="H294" s="22">
        <v>0.1</v>
      </c>
      <c r="I294" s="20">
        <v>11</v>
      </c>
      <c r="J294" s="23">
        <v>45033</v>
      </c>
      <c r="K294" s="20">
        <v>4</v>
      </c>
      <c r="L294" s="20">
        <v>2023</v>
      </c>
    </row>
    <row r="295" spans="1:12" x14ac:dyDescent="0.3">
      <c r="A295" s="16" t="s">
        <v>379</v>
      </c>
      <c r="B295" s="16" t="s">
        <v>309</v>
      </c>
      <c r="C295" s="16" t="s">
        <v>41</v>
      </c>
      <c r="D295" s="16" t="s">
        <v>38</v>
      </c>
      <c r="E295" s="16" t="s">
        <v>22</v>
      </c>
      <c r="F295" s="17">
        <v>668.59</v>
      </c>
      <c r="G295" s="17">
        <v>96.13</v>
      </c>
      <c r="H295" s="18">
        <v>0.2</v>
      </c>
      <c r="I295" s="16">
        <v>10</v>
      </c>
      <c r="J295" s="19">
        <v>44899</v>
      </c>
      <c r="K295" s="16">
        <v>12</v>
      </c>
      <c r="L295" s="16">
        <v>2022</v>
      </c>
    </row>
    <row r="296" spans="1:12" x14ac:dyDescent="0.3">
      <c r="A296" s="20" t="s">
        <v>380</v>
      </c>
      <c r="B296" s="20" t="s">
        <v>96</v>
      </c>
      <c r="C296" s="20" t="s">
        <v>41</v>
      </c>
      <c r="D296" s="20" t="s">
        <v>48</v>
      </c>
      <c r="E296" s="20" t="s">
        <v>31</v>
      </c>
      <c r="F296" s="21">
        <v>724.94</v>
      </c>
      <c r="G296" s="21">
        <v>216.93</v>
      </c>
      <c r="H296" s="22">
        <v>0.1</v>
      </c>
      <c r="I296" s="20">
        <v>8</v>
      </c>
      <c r="J296" s="23">
        <v>45369</v>
      </c>
      <c r="K296" s="20">
        <v>3</v>
      </c>
      <c r="L296" s="20">
        <v>2024</v>
      </c>
    </row>
    <row r="297" spans="1:12" x14ac:dyDescent="0.3">
      <c r="A297" s="16" t="s">
        <v>381</v>
      </c>
      <c r="B297" s="16" t="s">
        <v>24</v>
      </c>
      <c r="C297" s="16" t="s">
        <v>41</v>
      </c>
      <c r="D297" s="16" t="s">
        <v>21</v>
      </c>
      <c r="E297" s="16" t="s">
        <v>22</v>
      </c>
      <c r="F297" s="17">
        <v>2246.5700000000002</v>
      </c>
      <c r="G297" s="17">
        <v>283.89999999999998</v>
      </c>
      <c r="H297" s="18">
        <v>0.2</v>
      </c>
      <c r="I297" s="16">
        <v>13</v>
      </c>
      <c r="J297" s="19">
        <v>45357</v>
      </c>
      <c r="K297" s="16">
        <v>3</v>
      </c>
      <c r="L297" s="16">
        <v>2024</v>
      </c>
    </row>
    <row r="298" spans="1:12" x14ac:dyDescent="0.3">
      <c r="A298" s="20" t="s">
        <v>382</v>
      </c>
      <c r="B298" s="20" t="s">
        <v>29</v>
      </c>
      <c r="C298" s="20" t="s">
        <v>20</v>
      </c>
      <c r="D298" s="20" t="s">
        <v>57</v>
      </c>
      <c r="E298" s="20" t="s">
        <v>17</v>
      </c>
      <c r="F298" s="21">
        <v>3739.46</v>
      </c>
      <c r="G298" s="21">
        <v>714.81</v>
      </c>
      <c r="H298" s="22">
        <v>0.1</v>
      </c>
      <c r="I298" s="20">
        <v>14</v>
      </c>
      <c r="J298" s="23">
        <v>44949</v>
      </c>
      <c r="K298" s="20">
        <v>1</v>
      </c>
      <c r="L298" s="20">
        <v>2023</v>
      </c>
    </row>
    <row r="299" spans="1:12" x14ac:dyDescent="0.3">
      <c r="A299" s="16" t="s">
        <v>383</v>
      </c>
      <c r="B299" s="16" t="s">
        <v>56</v>
      </c>
      <c r="C299" s="16" t="s">
        <v>47</v>
      </c>
      <c r="D299" s="16" t="s">
        <v>42</v>
      </c>
      <c r="E299" s="16" t="s">
        <v>22</v>
      </c>
      <c r="F299" s="17">
        <v>3811.16</v>
      </c>
      <c r="G299" s="17">
        <v>884.65</v>
      </c>
      <c r="H299" s="18">
        <v>0.05</v>
      </c>
      <c r="I299" s="16">
        <v>18</v>
      </c>
      <c r="J299" s="19">
        <v>44723</v>
      </c>
      <c r="K299" s="16">
        <v>6</v>
      </c>
      <c r="L299" s="16">
        <v>2022</v>
      </c>
    </row>
    <row r="300" spans="1:12" x14ac:dyDescent="0.3">
      <c r="A300" s="20" t="s">
        <v>384</v>
      </c>
      <c r="B300" s="20" t="s">
        <v>222</v>
      </c>
      <c r="C300" s="20" t="s">
        <v>20</v>
      </c>
      <c r="D300" s="20" t="s">
        <v>42</v>
      </c>
      <c r="E300" s="20" t="s">
        <v>22</v>
      </c>
      <c r="F300" s="21">
        <v>1459.3</v>
      </c>
      <c r="G300" s="21">
        <v>270.76</v>
      </c>
      <c r="H300" s="22">
        <v>0.2</v>
      </c>
      <c r="I300" s="20">
        <v>11</v>
      </c>
      <c r="J300" s="23">
        <v>45493</v>
      </c>
      <c r="K300" s="20">
        <v>7</v>
      </c>
      <c r="L300" s="20">
        <v>2024</v>
      </c>
    </row>
    <row r="301" spans="1:12" x14ac:dyDescent="0.3">
      <c r="A301" s="16" t="s">
        <v>385</v>
      </c>
      <c r="B301" s="16" t="s">
        <v>222</v>
      </c>
      <c r="C301" s="16" t="s">
        <v>25</v>
      </c>
      <c r="D301" s="16" t="s">
        <v>57</v>
      </c>
      <c r="E301" s="16" t="s">
        <v>17</v>
      </c>
      <c r="F301" s="17">
        <v>1870.04</v>
      </c>
      <c r="G301" s="17">
        <v>380.5</v>
      </c>
      <c r="H301" s="18">
        <v>0.2</v>
      </c>
      <c r="I301" s="16">
        <v>10</v>
      </c>
      <c r="J301" s="19">
        <v>45568</v>
      </c>
      <c r="K301" s="16">
        <v>10</v>
      </c>
      <c r="L301" s="16">
        <v>2024</v>
      </c>
    </row>
    <row r="302" spans="1:12" x14ac:dyDescent="0.3">
      <c r="A302" s="20" t="s">
        <v>386</v>
      </c>
      <c r="B302" s="20" t="s">
        <v>222</v>
      </c>
      <c r="C302" s="20" t="s">
        <v>41</v>
      </c>
      <c r="D302" s="20" t="s">
        <v>21</v>
      </c>
      <c r="E302" s="20" t="s">
        <v>22</v>
      </c>
      <c r="F302" s="21">
        <v>1345.15</v>
      </c>
      <c r="G302" s="21">
        <v>186.27</v>
      </c>
      <c r="H302" s="22">
        <v>0.05</v>
      </c>
      <c r="I302" s="20">
        <v>5</v>
      </c>
      <c r="J302" s="23">
        <v>45487</v>
      </c>
      <c r="K302" s="20">
        <v>7</v>
      </c>
      <c r="L302" s="20">
        <v>2024</v>
      </c>
    </row>
    <row r="303" spans="1:12" x14ac:dyDescent="0.3">
      <c r="A303" s="16" t="s">
        <v>387</v>
      </c>
      <c r="B303" s="16" t="s">
        <v>94</v>
      </c>
      <c r="C303" s="16" t="s">
        <v>47</v>
      </c>
      <c r="D303" s="16" t="s">
        <v>34</v>
      </c>
      <c r="E303" s="16" t="s">
        <v>35</v>
      </c>
      <c r="F303" s="17">
        <v>2041.81</v>
      </c>
      <c r="G303" s="17">
        <v>407.34</v>
      </c>
      <c r="H303" s="18">
        <v>0.1</v>
      </c>
      <c r="I303" s="16">
        <v>18</v>
      </c>
      <c r="J303" s="19">
        <v>45602</v>
      </c>
      <c r="K303" s="16">
        <v>11</v>
      </c>
      <c r="L303" s="16">
        <v>2024</v>
      </c>
    </row>
    <row r="304" spans="1:12" x14ac:dyDescent="0.3">
      <c r="A304" s="20" t="s">
        <v>388</v>
      </c>
      <c r="B304" s="20" t="s">
        <v>216</v>
      </c>
      <c r="C304" s="20" t="s">
        <v>47</v>
      </c>
      <c r="D304" s="20" t="s">
        <v>16</v>
      </c>
      <c r="E304" s="20" t="s">
        <v>17</v>
      </c>
      <c r="F304" s="21">
        <v>1586.41</v>
      </c>
      <c r="G304" s="21">
        <v>255.06</v>
      </c>
      <c r="H304" s="22">
        <v>0.1</v>
      </c>
      <c r="I304" s="20">
        <v>15</v>
      </c>
      <c r="J304" s="23">
        <v>45319</v>
      </c>
      <c r="K304" s="20">
        <v>1</v>
      </c>
      <c r="L304" s="20">
        <v>2024</v>
      </c>
    </row>
    <row r="305" spans="1:12" x14ac:dyDescent="0.3">
      <c r="A305" s="16" t="s">
        <v>389</v>
      </c>
      <c r="B305" s="16" t="s">
        <v>216</v>
      </c>
      <c r="C305" s="16" t="s">
        <v>15</v>
      </c>
      <c r="D305" s="16" t="s">
        <v>30</v>
      </c>
      <c r="E305" s="16" t="s">
        <v>31</v>
      </c>
      <c r="F305" s="17">
        <v>855.37</v>
      </c>
      <c r="G305" s="17">
        <v>233.32</v>
      </c>
      <c r="H305" s="18">
        <v>0.2</v>
      </c>
      <c r="I305" s="16">
        <v>17</v>
      </c>
      <c r="J305" s="19">
        <v>45518</v>
      </c>
      <c r="K305" s="16">
        <v>8</v>
      </c>
      <c r="L305" s="16">
        <v>2024</v>
      </c>
    </row>
    <row r="306" spans="1:12" x14ac:dyDescent="0.3">
      <c r="A306" s="20" t="s">
        <v>390</v>
      </c>
      <c r="B306" s="20" t="s">
        <v>101</v>
      </c>
      <c r="C306" s="20" t="s">
        <v>20</v>
      </c>
      <c r="D306" s="20" t="s">
        <v>38</v>
      </c>
      <c r="E306" s="20" t="s">
        <v>22</v>
      </c>
      <c r="F306" s="21">
        <v>4231.4799999999996</v>
      </c>
      <c r="G306" s="21">
        <v>480.06</v>
      </c>
      <c r="H306" s="22">
        <v>0.2</v>
      </c>
      <c r="I306" s="20">
        <v>19</v>
      </c>
      <c r="J306" s="23">
        <v>44661</v>
      </c>
      <c r="K306" s="20">
        <v>4</v>
      </c>
      <c r="L306" s="20">
        <v>2022</v>
      </c>
    </row>
    <row r="307" spans="1:12" x14ac:dyDescent="0.3">
      <c r="A307" s="16" t="s">
        <v>391</v>
      </c>
      <c r="B307" s="16" t="s">
        <v>103</v>
      </c>
      <c r="C307" s="16" t="s">
        <v>41</v>
      </c>
      <c r="D307" s="16" t="s">
        <v>48</v>
      </c>
      <c r="E307" s="16" t="s">
        <v>31</v>
      </c>
      <c r="F307" s="17">
        <v>2780.52</v>
      </c>
      <c r="G307" s="17">
        <v>738.69</v>
      </c>
      <c r="H307" s="18">
        <v>0.1</v>
      </c>
      <c r="I307" s="16">
        <v>19</v>
      </c>
      <c r="J307" s="19">
        <v>45522</v>
      </c>
      <c r="K307" s="16">
        <v>8</v>
      </c>
      <c r="L307" s="16">
        <v>2024</v>
      </c>
    </row>
    <row r="308" spans="1:12" x14ac:dyDescent="0.3">
      <c r="A308" s="20" t="s">
        <v>392</v>
      </c>
      <c r="B308" s="20" t="s">
        <v>94</v>
      </c>
      <c r="C308" s="20" t="s">
        <v>15</v>
      </c>
      <c r="D308" s="20" t="s">
        <v>16</v>
      </c>
      <c r="E308" s="20" t="s">
        <v>17</v>
      </c>
      <c r="F308" s="21">
        <v>748.19</v>
      </c>
      <c r="G308" s="21">
        <v>171.61</v>
      </c>
      <c r="H308" s="22">
        <v>0.25</v>
      </c>
      <c r="I308" s="20">
        <v>12</v>
      </c>
      <c r="J308" s="23">
        <v>45316</v>
      </c>
      <c r="K308" s="20">
        <v>1</v>
      </c>
      <c r="L308" s="20">
        <v>2024</v>
      </c>
    </row>
    <row r="309" spans="1:12" x14ac:dyDescent="0.3">
      <c r="A309" s="16" t="s">
        <v>393</v>
      </c>
      <c r="B309" s="16" t="s">
        <v>218</v>
      </c>
      <c r="C309" s="16" t="s">
        <v>25</v>
      </c>
      <c r="D309" s="16" t="s">
        <v>38</v>
      </c>
      <c r="E309" s="16" t="s">
        <v>22</v>
      </c>
      <c r="F309" s="17">
        <v>4950.92</v>
      </c>
      <c r="G309" s="17">
        <v>1335.74</v>
      </c>
      <c r="H309" s="18">
        <v>0.05</v>
      </c>
      <c r="I309" s="16">
        <v>8</v>
      </c>
      <c r="J309" s="19">
        <v>44941</v>
      </c>
      <c r="K309" s="16">
        <v>1</v>
      </c>
      <c r="L309" s="16">
        <v>2023</v>
      </c>
    </row>
    <row r="310" spans="1:12" x14ac:dyDescent="0.3">
      <c r="A310" s="20" t="s">
        <v>394</v>
      </c>
      <c r="B310" s="20" t="s">
        <v>145</v>
      </c>
      <c r="C310" s="20" t="s">
        <v>41</v>
      </c>
      <c r="D310" s="20" t="s">
        <v>26</v>
      </c>
      <c r="E310" s="20" t="s">
        <v>27</v>
      </c>
      <c r="F310" s="21">
        <v>4120.3</v>
      </c>
      <c r="G310" s="21">
        <v>1042.68</v>
      </c>
      <c r="H310" s="22">
        <v>0.2</v>
      </c>
      <c r="I310" s="20">
        <v>4</v>
      </c>
      <c r="J310" s="23">
        <v>44677</v>
      </c>
      <c r="K310" s="20">
        <v>4</v>
      </c>
      <c r="L310" s="20">
        <v>2022</v>
      </c>
    </row>
    <row r="311" spans="1:12" x14ac:dyDescent="0.3">
      <c r="A311" s="16" t="s">
        <v>395</v>
      </c>
      <c r="B311" s="16" t="s">
        <v>145</v>
      </c>
      <c r="C311" s="16" t="s">
        <v>41</v>
      </c>
      <c r="D311" s="16" t="s">
        <v>34</v>
      </c>
      <c r="E311" s="16" t="s">
        <v>35</v>
      </c>
      <c r="F311" s="17">
        <v>3611.62</v>
      </c>
      <c r="G311" s="17">
        <v>408.82</v>
      </c>
      <c r="H311" s="18">
        <v>0.2</v>
      </c>
      <c r="I311" s="16">
        <v>5</v>
      </c>
      <c r="J311" s="19">
        <v>44677</v>
      </c>
      <c r="K311" s="16">
        <v>4</v>
      </c>
      <c r="L311" s="16">
        <v>2022</v>
      </c>
    </row>
    <row r="312" spans="1:12" x14ac:dyDescent="0.3">
      <c r="A312" s="20" t="s">
        <v>396</v>
      </c>
      <c r="B312" s="20" t="s">
        <v>85</v>
      </c>
      <c r="C312" s="20" t="s">
        <v>25</v>
      </c>
      <c r="D312" s="20" t="s">
        <v>48</v>
      </c>
      <c r="E312" s="20" t="s">
        <v>31</v>
      </c>
      <c r="F312" s="21">
        <v>2754.95</v>
      </c>
      <c r="G312" s="21">
        <v>484.92</v>
      </c>
      <c r="H312" s="22">
        <v>0.25</v>
      </c>
      <c r="I312" s="20">
        <v>11</v>
      </c>
      <c r="J312" s="23">
        <v>45422</v>
      </c>
      <c r="K312" s="20">
        <v>5</v>
      </c>
      <c r="L312" s="20">
        <v>2024</v>
      </c>
    </row>
    <row r="313" spans="1:12" x14ac:dyDescent="0.3">
      <c r="A313" s="16" t="s">
        <v>397</v>
      </c>
      <c r="B313" s="16" t="s">
        <v>129</v>
      </c>
      <c r="C313" s="16" t="s">
        <v>41</v>
      </c>
      <c r="D313" s="16" t="s">
        <v>34</v>
      </c>
      <c r="E313" s="16" t="s">
        <v>35</v>
      </c>
      <c r="F313" s="17">
        <v>2669.19</v>
      </c>
      <c r="G313" s="17">
        <v>339.53</v>
      </c>
      <c r="H313" s="18">
        <v>0.05</v>
      </c>
      <c r="I313" s="16">
        <v>14</v>
      </c>
      <c r="J313" s="19">
        <v>44709</v>
      </c>
      <c r="K313" s="16">
        <v>5</v>
      </c>
      <c r="L313" s="16">
        <v>2022</v>
      </c>
    </row>
    <row r="314" spans="1:12" x14ac:dyDescent="0.3">
      <c r="A314" s="20" t="s">
        <v>398</v>
      </c>
      <c r="B314" s="20" t="s">
        <v>14</v>
      </c>
      <c r="C314" s="20" t="s">
        <v>47</v>
      </c>
      <c r="D314" s="20" t="s">
        <v>21</v>
      </c>
      <c r="E314" s="20" t="s">
        <v>22</v>
      </c>
      <c r="F314" s="21">
        <v>901.97</v>
      </c>
      <c r="G314" s="21">
        <v>235.46</v>
      </c>
      <c r="H314" s="22">
        <v>0.15</v>
      </c>
      <c r="I314" s="20">
        <v>13</v>
      </c>
      <c r="J314" s="23">
        <v>45004</v>
      </c>
      <c r="K314" s="20">
        <v>3</v>
      </c>
      <c r="L314" s="20">
        <v>2023</v>
      </c>
    </row>
    <row r="315" spans="1:12" x14ac:dyDescent="0.3">
      <c r="A315" s="16" t="s">
        <v>399</v>
      </c>
      <c r="B315" s="16" t="s">
        <v>110</v>
      </c>
      <c r="C315" s="16" t="s">
        <v>20</v>
      </c>
      <c r="D315" s="16" t="s">
        <v>26</v>
      </c>
      <c r="E315" s="16" t="s">
        <v>27</v>
      </c>
      <c r="F315" s="17">
        <v>2369.56</v>
      </c>
      <c r="G315" s="17">
        <v>451.82</v>
      </c>
      <c r="H315" s="18">
        <v>0.05</v>
      </c>
      <c r="I315" s="16">
        <v>9</v>
      </c>
      <c r="J315" s="19">
        <v>45458</v>
      </c>
      <c r="K315" s="16">
        <v>6</v>
      </c>
      <c r="L315" s="16">
        <v>2024</v>
      </c>
    </row>
    <row r="316" spans="1:12" x14ac:dyDescent="0.3">
      <c r="A316" s="20" t="s">
        <v>400</v>
      </c>
      <c r="B316" s="20" t="s">
        <v>77</v>
      </c>
      <c r="C316" s="20" t="s">
        <v>41</v>
      </c>
      <c r="D316" s="20" t="s">
        <v>38</v>
      </c>
      <c r="E316" s="20" t="s">
        <v>22</v>
      </c>
      <c r="F316" s="21">
        <v>211.87</v>
      </c>
      <c r="G316" s="21">
        <v>56.91</v>
      </c>
      <c r="H316" s="22">
        <v>0.05</v>
      </c>
      <c r="I316" s="20">
        <v>15</v>
      </c>
      <c r="J316" s="23">
        <v>45619</v>
      </c>
      <c r="K316" s="20">
        <v>11</v>
      </c>
      <c r="L316" s="20">
        <v>2024</v>
      </c>
    </row>
    <row r="317" spans="1:12" x14ac:dyDescent="0.3">
      <c r="A317" s="16" t="s">
        <v>401</v>
      </c>
      <c r="B317" s="16" t="s">
        <v>127</v>
      </c>
      <c r="C317" s="16" t="s">
        <v>15</v>
      </c>
      <c r="D317" s="16" t="s">
        <v>30</v>
      </c>
      <c r="E317" s="16" t="s">
        <v>31</v>
      </c>
      <c r="F317" s="17">
        <v>2765.24</v>
      </c>
      <c r="G317" s="17">
        <v>851.22</v>
      </c>
      <c r="H317" s="18">
        <v>0.1</v>
      </c>
      <c r="I317" s="16">
        <v>7</v>
      </c>
      <c r="J317" s="19">
        <v>45057</v>
      </c>
      <c r="K317" s="16">
        <v>5</v>
      </c>
      <c r="L317" s="16">
        <v>2023</v>
      </c>
    </row>
    <row r="318" spans="1:12" x14ac:dyDescent="0.3">
      <c r="A318" s="20" t="s">
        <v>402</v>
      </c>
      <c r="B318" s="20" t="s">
        <v>24</v>
      </c>
      <c r="C318" s="20" t="s">
        <v>41</v>
      </c>
      <c r="D318" s="20" t="s">
        <v>26</v>
      </c>
      <c r="E318" s="20" t="s">
        <v>27</v>
      </c>
      <c r="F318" s="21">
        <v>2974.08</v>
      </c>
      <c r="G318" s="21">
        <v>698.4</v>
      </c>
      <c r="H318" s="22">
        <v>0.25</v>
      </c>
      <c r="I318" s="20">
        <v>11</v>
      </c>
      <c r="J318" s="23">
        <v>45293</v>
      </c>
      <c r="K318" s="20">
        <v>1</v>
      </c>
      <c r="L318" s="20">
        <v>2024</v>
      </c>
    </row>
    <row r="319" spans="1:12" x14ac:dyDescent="0.3">
      <c r="A319" s="16" t="s">
        <v>403</v>
      </c>
      <c r="B319" s="16" t="s">
        <v>29</v>
      </c>
      <c r="C319" s="16" t="s">
        <v>20</v>
      </c>
      <c r="D319" s="16" t="s">
        <v>53</v>
      </c>
      <c r="E319" s="16" t="s">
        <v>31</v>
      </c>
      <c r="F319" s="17">
        <v>796.34</v>
      </c>
      <c r="G319" s="17">
        <v>150.74</v>
      </c>
      <c r="H319" s="18">
        <v>0.1</v>
      </c>
      <c r="I319" s="16">
        <v>1</v>
      </c>
      <c r="J319" s="19">
        <v>45039</v>
      </c>
      <c r="K319" s="16">
        <v>4</v>
      </c>
      <c r="L319" s="16">
        <v>2023</v>
      </c>
    </row>
    <row r="320" spans="1:12" x14ac:dyDescent="0.3">
      <c r="A320" s="20" t="s">
        <v>404</v>
      </c>
      <c r="B320" s="20" t="s">
        <v>37</v>
      </c>
      <c r="C320" s="20" t="s">
        <v>41</v>
      </c>
      <c r="D320" s="20" t="s">
        <v>21</v>
      </c>
      <c r="E320" s="20" t="s">
        <v>22</v>
      </c>
      <c r="F320" s="21">
        <v>4397.2299999999996</v>
      </c>
      <c r="G320" s="21">
        <v>460.98</v>
      </c>
      <c r="H320" s="22">
        <v>0.15</v>
      </c>
      <c r="I320" s="20">
        <v>12</v>
      </c>
      <c r="J320" s="23">
        <v>44969</v>
      </c>
      <c r="K320" s="20">
        <v>2</v>
      </c>
      <c r="L320" s="20">
        <v>2023</v>
      </c>
    </row>
    <row r="321" spans="1:12" x14ac:dyDescent="0.3">
      <c r="A321" s="16" t="s">
        <v>405</v>
      </c>
      <c r="B321" s="16" t="s">
        <v>40</v>
      </c>
      <c r="C321" s="16" t="s">
        <v>15</v>
      </c>
      <c r="D321" s="16" t="s">
        <v>21</v>
      </c>
      <c r="E321" s="16" t="s">
        <v>22</v>
      </c>
      <c r="F321" s="17">
        <v>3202.9</v>
      </c>
      <c r="G321" s="17">
        <v>597.59</v>
      </c>
      <c r="H321" s="18">
        <v>0.1</v>
      </c>
      <c r="I321" s="16">
        <v>3</v>
      </c>
      <c r="J321" s="19">
        <v>45323</v>
      </c>
      <c r="K321" s="16">
        <v>2</v>
      </c>
      <c r="L321" s="16">
        <v>2024</v>
      </c>
    </row>
    <row r="322" spans="1:12" x14ac:dyDescent="0.3">
      <c r="A322" s="20" t="s">
        <v>406</v>
      </c>
      <c r="B322" s="20" t="s">
        <v>46</v>
      </c>
      <c r="C322" s="20" t="s">
        <v>20</v>
      </c>
      <c r="D322" s="20" t="s">
        <v>42</v>
      </c>
      <c r="E322" s="20" t="s">
        <v>22</v>
      </c>
      <c r="F322" s="21">
        <v>836.96</v>
      </c>
      <c r="G322" s="21">
        <v>173.15</v>
      </c>
      <c r="H322" s="22">
        <v>0.1</v>
      </c>
      <c r="I322" s="20">
        <v>15</v>
      </c>
      <c r="J322" s="23">
        <v>44584</v>
      </c>
      <c r="K322" s="20">
        <v>1</v>
      </c>
      <c r="L322" s="20">
        <v>2022</v>
      </c>
    </row>
    <row r="323" spans="1:12" x14ac:dyDescent="0.3">
      <c r="A323" s="16" t="s">
        <v>407</v>
      </c>
      <c r="B323" s="16" t="s">
        <v>145</v>
      </c>
      <c r="C323" s="16" t="s">
        <v>15</v>
      </c>
      <c r="D323" s="16" t="s">
        <v>30</v>
      </c>
      <c r="E323" s="16" t="s">
        <v>31</v>
      </c>
      <c r="F323" s="17">
        <v>2227.11</v>
      </c>
      <c r="G323" s="17">
        <v>439.82</v>
      </c>
      <c r="H323" s="18">
        <v>0.1</v>
      </c>
      <c r="I323" s="16">
        <v>8</v>
      </c>
      <c r="J323" s="19">
        <v>44981</v>
      </c>
      <c r="K323" s="16">
        <v>2</v>
      </c>
      <c r="L323" s="16">
        <v>2023</v>
      </c>
    </row>
    <row r="324" spans="1:12" x14ac:dyDescent="0.3">
      <c r="A324" s="20" t="s">
        <v>408</v>
      </c>
      <c r="B324" s="20" t="s">
        <v>91</v>
      </c>
      <c r="C324" s="20" t="s">
        <v>15</v>
      </c>
      <c r="D324" s="20" t="s">
        <v>53</v>
      </c>
      <c r="E324" s="20" t="s">
        <v>31</v>
      </c>
      <c r="F324" s="21">
        <v>1964.3</v>
      </c>
      <c r="G324" s="21">
        <v>224.21</v>
      </c>
      <c r="H324" s="22">
        <v>0.15</v>
      </c>
      <c r="I324" s="20">
        <v>5</v>
      </c>
      <c r="J324" s="23">
        <v>45601</v>
      </c>
      <c r="K324" s="20">
        <v>11</v>
      </c>
      <c r="L324" s="20">
        <v>2024</v>
      </c>
    </row>
    <row r="325" spans="1:12" x14ac:dyDescent="0.3">
      <c r="A325" s="16" t="s">
        <v>409</v>
      </c>
      <c r="B325" s="16" t="s">
        <v>94</v>
      </c>
      <c r="C325" s="16" t="s">
        <v>25</v>
      </c>
      <c r="D325" s="16" t="s">
        <v>53</v>
      </c>
      <c r="E325" s="16" t="s">
        <v>31</v>
      </c>
      <c r="F325" s="17">
        <v>240.68</v>
      </c>
      <c r="G325" s="17">
        <v>45.49</v>
      </c>
      <c r="H325" s="18">
        <v>0.1</v>
      </c>
      <c r="I325" s="16">
        <v>7</v>
      </c>
      <c r="J325" s="19">
        <v>45631</v>
      </c>
      <c r="K325" s="16">
        <v>12</v>
      </c>
      <c r="L325" s="16">
        <v>2024</v>
      </c>
    </row>
    <row r="326" spans="1:12" x14ac:dyDescent="0.3">
      <c r="A326" s="20" t="s">
        <v>410</v>
      </c>
      <c r="B326" s="20" t="s">
        <v>14</v>
      </c>
      <c r="C326" s="20" t="s">
        <v>25</v>
      </c>
      <c r="D326" s="20" t="s">
        <v>57</v>
      </c>
      <c r="E326" s="20" t="s">
        <v>17</v>
      </c>
      <c r="F326" s="21">
        <v>2323.44</v>
      </c>
      <c r="G326" s="21">
        <v>254.43</v>
      </c>
      <c r="H326" s="22">
        <v>0.1</v>
      </c>
      <c r="I326" s="20">
        <v>4</v>
      </c>
      <c r="J326" s="23">
        <v>44611</v>
      </c>
      <c r="K326" s="20">
        <v>2</v>
      </c>
      <c r="L326" s="20">
        <v>2022</v>
      </c>
    </row>
    <row r="327" spans="1:12" x14ac:dyDescent="0.3">
      <c r="A327" s="16" t="s">
        <v>411</v>
      </c>
      <c r="B327" s="16" t="s">
        <v>265</v>
      </c>
      <c r="C327" s="16" t="s">
        <v>41</v>
      </c>
      <c r="D327" s="16" t="s">
        <v>57</v>
      </c>
      <c r="E327" s="16" t="s">
        <v>17</v>
      </c>
      <c r="F327" s="17">
        <v>1709.62</v>
      </c>
      <c r="G327" s="17">
        <v>249.18</v>
      </c>
      <c r="H327" s="18">
        <v>0.1</v>
      </c>
      <c r="I327" s="16">
        <v>3</v>
      </c>
      <c r="J327" s="19">
        <v>44824</v>
      </c>
      <c r="K327" s="16">
        <v>9</v>
      </c>
      <c r="L327" s="16">
        <v>2022</v>
      </c>
    </row>
    <row r="328" spans="1:12" x14ac:dyDescent="0.3">
      <c r="A328" s="20" t="s">
        <v>412</v>
      </c>
      <c r="B328" s="20" t="s">
        <v>98</v>
      </c>
      <c r="C328" s="20" t="s">
        <v>25</v>
      </c>
      <c r="D328" s="20" t="s">
        <v>34</v>
      </c>
      <c r="E328" s="20" t="s">
        <v>35</v>
      </c>
      <c r="F328" s="21">
        <v>3939.05</v>
      </c>
      <c r="G328" s="21">
        <v>1167.43</v>
      </c>
      <c r="H328" s="22">
        <v>0.05</v>
      </c>
      <c r="I328" s="20">
        <v>10</v>
      </c>
      <c r="J328" s="23">
        <v>44824</v>
      </c>
      <c r="K328" s="20">
        <v>9</v>
      </c>
      <c r="L328" s="20">
        <v>2022</v>
      </c>
    </row>
    <row r="329" spans="1:12" x14ac:dyDescent="0.3">
      <c r="A329" s="16" t="s">
        <v>413</v>
      </c>
      <c r="B329" s="16" t="s">
        <v>138</v>
      </c>
      <c r="C329" s="16" t="s">
        <v>47</v>
      </c>
      <c r="D329" s="16" t="s">
        <v>16</v>
      </c>
      <c r="E329" s="16" t="s">
        <v>17</v>
      </c>
      <c r="F329" s="17">
        <v>2080.4</v>
      </c>
      <c r="G329" s="17">
        <v>584.91</v>
      </c>
      <c r="H329" s="18">
        <v>0.05</v>
      </c>
      <c r="I329" s="16">
        <v>8</v>
      </c>
      <c r="J329" s="19">
        <v>45111</v>
      </c>
      <c r="K329" s="16">
        <v>7</v>
      </c>
      <c r="L329" s="16">
        <v>2023</v>
      </c>
    </row>
    <row r="330" spans="1:12" x14ac:dyDescent="0.3">
      <c r="A330" s="20" t="s">
        <v>414</v>
      </c>
      <c r="B330" s="20" t="s">
        <v>74</v>
      </c>
      <c r="C330" s="20" t="s">
        <v>20</v>
      </c>
      <c r="D330" s="20" t="s">
        <v>42</v>
      </c>
      <c r="E330" s="20" t="s">
        <v>22</v>
      </c>
      <c r="F330" s="21">
        <v>3050.86</v>
      </c>
      <c r="G330" s="21">
        <v>737.2</v>
      </c>
      <c r="H330" s="22">
        <v>0.25</v>
      </c>
      <c r="I330" s="20">
        <v>1</v>
      </c>
      <c r="J330" s="23">
        <v>45082</v>
      </c>
      <c r="K330" s="20">
        <v>6</v>
      </c>
      <c r="L330" s="20">
        <v>2023</v>
      </c>
    </row>
    <row r="331" spans="1:12" x14ac:dyDescent="0.3">
      <c r="A331" s="16" t="s">
        <v>415</v>
      </c>
      <c r="B331" s="16" t="s">
        <v>114</v>
      </c>
      <c r="C331" s="16" t="s">
        <v>25</v>
      </c>
      <c r="D331" s="16" t="s">
        <v>57</v>
      </c>
      <c r="E331" s="16" t="s">
        <v>17</v>
      </c>
      <c r="F331" s="17">
        <v>1953.98</v>
      </c>
      <c r="G331" s="17">
        <v>511.19</v>
      </c>
      <c r="H331" s="18">
        <v>0.1</v>
      </c>
      <c r="I331" s="16">
        <v>3</v>
      </c>
      <c r="J331" s="19">
        <v>44837</v>
      </c>
      <c r="K331" s="16">
        <v>10</v>
      </c>
      <c r="L331" s="16">
        <v>2022</v>
      </c>
    </row>
    <row r="332" spans="1:12" x14ac:dyDescent="0.3">
      <c r="A332" s="20" t="s">
        <v>416</v>
      </c>
      <c r="B332" s="20" t="s">
        <v>218</v>
      </c>
      <c r="C332" s="20" t="s">
        <v>41</v>
      </c>
      <c r="D332" s="20" t="s">
        <v>48</v>
      </c>
      <c r="E332" s="20" t="s">
        <v>31</v>
      </c>
      <c r="F332" s="21">
        <v>391.17</v>
      </c>
      <c r="G332" s="21">
        <v>125.3</v>
      </c>
      <c r="H332" s="22">
        <v>0.05</v>
      </c>
      <c r="I332" s="20">
        <v>13</v>
      </c>
      <c r="J332" s="23">
        <v>45433</v>
      </c>
      <c r="K332" s="20">
        <v>5</v>
      </c>
      <c r="L332" s="20">
        <v>2024</v>
      </c>
    </row>
    <row r="333" spans="1:12" x14ac:dyDescent="0.3">
      <c r="A333" s="16" t="s">
        <v>417</v>
      </c>
      <c r="B333" s="16" t="s">
        <v>265</v>
      </c>
      <c r="C333" s="16" t="s">
        <v>20</v>
      </c>
      <c r="D333" s="16" t="s">
        <v>16</v>
      </c>
      <c r="E333" s="16" t="s">
        <v>17</v>
      </c>
      <c r="F333" s="17">
        <v>3568.69</v>
      </c>
      <c r="G333" s="17">
        <v>881.92</v>
      </c>
      <c r="H333" s="18">
        <v>0.05</v>
      </c>
      <c r="I333" s="16">
        <v>18</v>
      </c>
      <c r="J333" s="19">
        <v>45360</v>
      </c>
      <c r="K333" s="16">
        <v>3</v>
      </c>
      <c r="L333" s="16">
        <v>2024</v>
      </c>
    </row>
    <row r="334" spans="1:12" x14ac:dyDescent="0.3">
      <c r="A334" s="20" t="s">
        <v>418</v>
      </c>
      <c r="B334" s="20" t="s">
        <v>33</v>
      </c>
      <c r="C334" s="20" t="s">
        <v>41</v>
      </c>
      <c r="D334" s="20" t="s">
        <v>53</v>
      </c>
      <c r="E334" s="20" t="s">
        <v>31</v>
      </c>
      <c r="F334" s="21">
        <v>2654.26</v>
      </c>
      <c r="G334" s="21">
        <v>820.75</v>
      </c>
      <c r="H334" s="22">
        <v>0.1</v>
      </c>
      <c r="I334" s="20">
        <v>5</v>
      </c>
      <c r="J334" s="23">
        <v>45456</v>
      </c>
      <c r="K334" s="20">
        <v>6</v>
      </c>
      <c r="L334" s="20">
        <v>2024</v>
      </c>
    </row>
    <row r="335" spans="1:12" x14ac:dyDescent="0.3">
      <c r="A335" s="16" t="s">
        <v>419</v>
      </c>
      <c r="B335" s="16" t="s">
        <v>83</v>
      </c>
      <c r="C335" s="16" t="s">
        <v>15</v>
      </c>
      <c r="D335" s="16" t="s">
        <v>34</v>
      </c>
      <c r="E335" s="16" t="s">
        <v>35</v>
      </c>
      <c r="F335" s="17">
        <v>3553.64</v>
      </c>
      <c r="G335" s="17">
        <v>366.13</v>
      </c>
      <c r="H335" s="18">
        <v>0.1</v>
      </c>
      <c r="I335" s="16">
        <v>3</v>
      </c>
      <c r="J335" s="19">
        <v>44972</v>
      </c>
      <c r="K335" s="16">
        <v>2</v>
      </c>
      <c r="L335" s="16">
        <v>2023</v>
      </c>
    </row>
    <row r="336" spans="1:12" x14ac:dyDescent="0.3">
      <c r="A336" s="20" t="s">
        <v>420</v>
      </c>
      <c r="B336" s="20" t="s">
        <v>63</v>
      </c>
      <c r="C336" s="20" t="s">
        <v>25</v>
      </c>
      <c r="D336" s="20" t="s">
        <v>34</v>
      </c>
      <c r="E336" s="20" t="s">
        <v>35</v>
      </c>
      <c r="F336" s="21">
        <v>1684.59</v>
      </c>
      <c r="G336" s="21">
        <v>196.89</v>
      </c>
      <c r="H336" s="22">
        <v>0.1</v>
      </c>
      <c r="I336" s="20">
        <v>5</v>
      </c>
      <c r="J336" s="23">
        <v>45297</v>
      </c>
      <c r="K336" s="20">
        <v>1</v>
      </c>
      <c r="L336" s="20">
        <v>2024</v>
      </c>
    </row>
    <row r="337" spans="1:12" x14ac:dyDescent="0.3">
      <c r="A337" s="16" t="s">
        <v>421</v>
      </c>
      <c r="B337" s="16" t="s">
        <v>89</v>
      </c>
      <c r="C337" s="16" t="s">
        <v>41</v>
      </c>
      <c r="D337" s="16" t="s">
        <v>38</v>
      </c>
      <c r="E337" s="16" t="s">
        <v>22</v>
      </c>
      <c r="F337" s="17">
        <v>2682.67</v>
      </c>
      <c r="G337" s="17">
        <v>323.20999999999998</v>
      </c>
      <c r="H337" s="18">
        <v>0.15</v>
      </c>
      <c r="I337" s="16">
        <v>5</v>
      </c>
      <c r="J337" s="19">
        <v>45436</v>
      </c>
      <c r="K337" s="16">
        <v>5</v>
      </c>
      <c r="L337" s="16">
        <v>2024</v>
      </c>
    </row>
    <row r="338" spans="1:12" x14ac:dyDescent="0.3">
      <c r="A338" s="20" t="s">
        <v>422</v>
      </c>
      <c r="B338" s="20" t="s">
        <v>44</v>
      </c>
      <c r="C338" s="20" t="s">
        <v>15</v>
      </c>
      <c r="D338" s="20" t="s">
        <v>53</v>
      </c>
      <c r="E338" s="20" t="s">
        <v>31</v>
      </c>
      <c r="F338" s="21">
        <v>4074.12</v>
      </c>
      <c r="G338" s="21">
        <v>799.83</v>
      </c>
      <c r="H338" s="22">
        <v>0.15</v>
      </c>
      <c r="I338" s="20">
        <v>9</v>
      </c>
      <c r="J338" s="23">
        <v>45586</v>
      </c>
      <c r="K338" s="20">
        <v>10</v>
      </c>
      <c r="L338" s="20">
        <v>2024</v>
      </c>
    </row>
    <row r="339" spans="1:12" x14ac:dyDescent="0.3">
      <c r="A339" s="16" t="s">
        <v>423</v>
      </c>
      <c r="B339" s="16" t="s">
        <v>117</v>
      </c>
      <c r="C339" s="16" t="s">
        <v>20</v>
      </c>
      <c r="D339" s="16" t="s">
        <v>53</v>
      </c>
      <c r="E339" s="16" t="s">
        <v>31</v>
      </c>
      <c r="F339" s="17">
        <v>2651.75</v>
      </c>
      <c r="G339" s="17">
        <v>566.57000000000005</v>
      </c>
      <c r="H339" s="18">
        <v>0.05</v>
      </c>
      <c r="I339" s="16">
        <v>19</v>
      </c>
      <c r="J339" s="19">
        <v>44718</v>
      </c>
      <c r="K339" s="16">
        <v>6</v>
      </c>
      <c r="L339" s="16">
        <v>2022</v>
      </c>
    </row>
    <row r="340" spans="1:12" x14ac:dyDescent="0.3">
      <c r="A340" s="20" t="s">
        <v>424</v>
      </c>
      <c r="B340" s="20" t="s">
        <v>112</v>
      </c>
      <c r="C340" s="20" t="s">
        <v>15</v>
      </c>
      <c r="D340" s="20" t="s">
        <v>26</v>
      </c>
      <c r="E340" s="20" t="s">
        <v>27</v>
      </c>
      <c r="F340" s="21">
        <v>2954.78</v>
      </c>
      <c r="G340" s="21">
        <v>440.99</v>
      </c>
      <c r="H340" s="22">
        <v>0.05</v>
      </c>
      <c r="I340" s="20">
        <v>17</v>
      </c>
      <c r="J340" s="23">
        <v>44589</v>
      </c>
      <c r="K340" s="20">
        <v>1</v>
      </c>
      <c r="L340" s="20">
        <v>2022</v>
      </c>
    </row>
    <row r="341" spans="1:12" x14ac:dyDescent="0.3">
      <c r="A341" s="16" t="s">
        <v>425</v>
      </c>
      <c r="B341" s="16" t="s">
        <v>174</v>
      </c>
      <c r="C341" s="16" t="s">
        <v>47</v>
      </c>
      <c r="D341" s="16" t="s">
        <v>48</v>
      </c>
      <c r="E341" s="16" t="s">
        <v>31</v>
      </c>
      <c r="F341" s="17">
        <v>2464.4699999999998</v>
      </c>
      <c r="G341" s="17">
        <v>650.73</v>
      </c>
      <c r="H341" s="18">
        <v>0.2</v>
      </c>
      <c r="I341" s="16">
        <v>6</v>
      </c>
      <c r="J341" s="19">
        <v>44830</v>
      </c>
      <c r="K341" s="16">
        <v>9</v>
      </c>
      <c r="L341" s="16">
        <v>2022</v>
      </c>
    </row>
    <row r="342" spans="1:12" x14ac:dyDescent="0.3">
      <c r="A342" s="20" t="s">
        <v>426</v>
      </c>
      <c r="B342" s="20" t="s">
        <v>91</v>
      </c>
      <c r="C342" s="20" t="s">
        <v>47</v>
      </c>
      <c r="D342" s="20" t="s">
        <v>57</v>
      </c>
      <c r="E342" s="20" t="s">
        <v>17</v>
      </c>
      <c r="F342" s="21">
        <v>1391.66</v>
      </c>
      <c r="G342" s="21">
        <v>198.51</v>
      </c>
      <c r="H342" s="22">
        <v>0.15</v>
      </c>
      <c r="I342" s="20">
        <v>3</v>
      </c>
      <c r="J342" s="23">
        <v>45447</v>
      </c>
      <c r="K342" s="20">
        <v>6</v>
      </c>
      <c r="L342" s="20">
        <v>2024</v>
      </c>
    </row>
    <row r="343" spans="1:12" x14ac:dyDescent="0.3">
      <c r="A343" s="16" t="s">
        <v>427</v>
      </c>
      <c r="B343" s="16" t="s">
        <v>131</v>
      </c>
      <c r="C343" s="16" t="s">
        <v>15</v>
      </c>
      <c r="D343" s="16" t="s">
        <v>16</v>
      </c>
      <c r="E343" s="16" t="s">
        <v>17</v>
      </c>
      <c r="F343" s="17">
        <v>1271.29</v>
      </c>
      <c r="G343" s="17">
        <v>329.28</v>
      </c>
      <c r="H343" s="18">
        <v>0.25</v>
      </c>
      <c r="I343" s="16">
        <v>13</v>
      </c>
      <c r="J343" s="19">
        <v>44801</v>
      </c>
      <c r="K343" s="16">
        <v>8</v>
      </c>
      <c r="L343" s="16">
        <v>2022</v>
      </c>
    </row>
    <row r="344" spans="1:12" x14ac:dyDescent="0.3">
      <c r="A344" s="20" t="s">
        <v>428</v>
      </c>
      <c r="B344" s="20" t="s">
        <v>91</v>
      </c>
      <c r="C344" s="20" t="s">
        <v>41</v>
      </c>
      <c r="D344" s="20" t="s">
        <v>26</v>
      </c>
      <c r="E344" s="20" t="s">
        <v>27</v>
      </c>
      <c r="F344" s="21">
        <v>614.65</v>
      </c>
      <c r="G344" s="21">
        <v>50.15</v>
      </c>
      <c r="H344" s="22">
        <v>0.2</v>
      </c>
      <c r="I344" s="20">
        <v>7</v>
      </c>
      <c r="J344" s="23">
        <v>45225</v>
      </c>
      <c r="K344" s="20">
        <v>10</v>
      </c>
      <c r="L344" s="20">
        <v>2023</v>
      </c>
    </row>
    <row r="345" spans="1:12" x14ac:dyDescent="0.3">
      <c r="A345" s="16" t="s">
        <v>429</v>
      </c>
      <c r="B345" s="16" t="s">
        <v>14</v>
      </c>
      <c r="C345" s="16" t="s">
        <v>25</v>
      </c>
      <c r="D345" s="16" t="s">
        <v>26</v>
      </c>
      <c r="E345" s="16" t="s">
        <v>27</v>
      </c>
      <c r="F345" s="17">
        <v>2426.85</v>
      </c>
      <c r="G345" s="17">
        <v>624.24</v>
      </c>
      <c r="H345" s="18">
        <v>0.25</v>
      </c>
      <c r="I345" s="16">
        <v>7</v>
      </c>
      <c r="J345" s="19">
        <v>45560</v>
      </c>
      <c r="K345" s="16">
        <v>9</v>
      </c>
      <c r="L345" s="16">
        <v>2024</v>
      </c>
    </row>
    <row r="346" spans="1:12" x14ac:dyDescent="0.3">
      <c r="A346" s="20" t="s">
        <v>430</v>
      </c>
      <c r="B346" s="20" t="s">
        <v>19</v>
      </c>
      <c r="C346" s="20" t="s">
        <v>47</v>
      </c>
      <c r="D346" s="20" t="s">
        <v>42</v>
      </c>
      <c r="E346" s="20" t="s">
        <v>22</v>
      </c>
      <c r="F346" s="21">
        <v>4675.51</v>
      </c>
      <c r="G346" s="21">
        <v>702.9</v>
      </c>
      <c r="H346" s="22">
        <v>0.05</v>
      </c>
      <c r="I346" s="20">
        <v>12</v>
      </c>
      <c r="J346" s="23">
        <v>45627</v>
      </c>
      <c r="K346" s="20">
        <v>12</v>
      </c>
      <c r="L346" s="20">
        <v>2024</v>
      </c>
    </row>
    <row r="347" spans="1:12" x14ac:dyDescent="0.3">
      <c r="A347" s="16" t="s">
        <v>431</v>
      </c>
      <c r="B347" s="16" t="s">
        <v>227</v>
      </c>
      <c r="C347" s="16" t="s">
        <v>15</v>
      </c>
      <c r="D347" s="16" t="s">
        <v>30</v>
      </c>
      <c r="E347" s="16" t="s">
        <v>31</v>
      </c>
      <c r="F347" s="17">
        <v>3355.06</v>
      </c>
      <c r="G347" s="17">
        <v>359.29</v>
      </c>
      <c r="H347" s="18">
        <v>0.15</v>
      </c>
      <c r="I347" s="16">
        <v>17</v>
      </c>
      <c r="J347" s="19">
        <v>44758</v>
      </c>
      <c r="K347" s="16">
        <v>7</v>
      </c>
      <c r="L347" s="16">
        <v>2022</v>
      </c>
    </row>
    <row r="348" spans="1:12" x14ac:dyDescent="0.3">
      <c r="A348" s="20" t="s">
        <v>432</v>
      </c>
      <c r="B348" s="20" t="s">
        <v>101</v>
      </c>
      <c r="C348" s="20" t="s">
        <v>47</v>
      </c>
      <c r="D348" s="20" t="s">
        <v>48</v>
      </c>
      <c r="E348" s="20" t="s">
        <v>31</v>
      </c>
      <c r="F348" s="21">
        <v>1543.16</v>
      </c>
      <c r="G348" s="21">
        <v>484.25</v>
      </c>
      <c r="H348" s="22">
        <v>0.05</v>
      </c>
      <c r="I348" s="20">
        <v>17</v>
      </c>
      <c r="J348" s="23">
        <v>45272</v>
      </c>
      <c r="K348" s="20">
        <v>12</v>
      </c>
      <c r="L348" s="20">
        <v>2023</v>
      </c>
    </row>
    <row r="349" spans="1:12" x14ac:dyDescent="0.3">
      <c r="A349" s="16" t="s">
        <v>433</v>
      </c>
      <c r="B349" s="16" t="s">
        <v>77</v>
      </c>
      <c r="C349" s="16" t="s">
        <v>15</v>
      </c>
      <c r="D349" s="16" t="s">
        <v>38</v>
      </c>
      <c r="E349" s="16" t="s">
        <v>22</v>
      </c>
      <c r="F349" s="17">
        <v>658.77</v>
      </c>
      <c r="G349" s="17">
        <v>153.74</v>
      </c>
      <c r="H349" s="18">
        <v>0.1</v>
      </c>
      <c r="I349" s="16">
        <v>13</v>
      </c>
      <c r="J349" s="19">
        <v>44853</v>
      </c>
      <c r="K349" s="16">
        <v>10</v>
      </c>
      <c r="L349" s="16">
        <v>2022</v>
      </c>
    </row>
    <row r="350" spans="1:12" x14ac:dyDescent="0.3">
      <c r="A350" s="20" t="s">
        <v>434</v>
      </c>
      <c r="B350" s="20" t="s">
        <v>52</v>
      </c>
      <c r="C350" s="20" t="s">
        <v>20</v>
      </c>
      <c r="D350" s="20" t="s">
        <v>48</v>
      </c>
      <c r="E350" s="20" t="s">
        <v>31</v>
      </c>
      <c r="F350" s="21">
        <v>4828.25</v>
      </c>
      <c r="G350" s="21">
        <v>751.41</v>
      </c>
      <c r="H350" s="22">
        <v>0.1</v>
      </c>
      <c r="I350" s="20">
        <v>11</v>
      </c>
      <c r="J350" s="23">
        <v>45287</v>
      </c>
      <c r="K350" s="20">
        <v>12</v>
      </c>
      <c r="L350" s="20">
        <v>2023</v>
      </c>
    </row>
    <row r="351" spans="1:12" x14ac:dyDescent="0.3">
      <c r="A351" s="16" t="s">
        <v>435</v>
      </c>
      <c r="B351" s="16" t="s">
        <v>69</v>
      </c>
      <c r="C351" s="16" t="s">
        <v>41</v>
      </c>
      <c r="D351" s="16" t="s">
        <v>30</v>
      </c>
      <c r="E351" s="16" t="s">
        <v>31</v>
      </c>
      <c r="F351" s="17">
        <v>1505.39</v>
      </c>
      <c r="G351" s="17">
        <v>480.36</v>
      </c>
      <c r="H351" s="18">
        <v>0.05</v>
      </c>
      <c r="I351" s="16">
        <v>5</v>
      </c>
      <c r="J351" s="19">
        <v>45327</v>
      </c>
      <c r="K351" s="16">
        <v>2</v>
      </c>
      <c r="L351" s="16">
        <v>2024</v>
      </c>
    </row>
    <row r="352" spans="1:12" x14ac:dyDescent="0.3">
      <c r="A352" s="20" t="s">
        <v>436</v>
      </c>
      <c r="B352" s="20" t="s">
        <v>69</v>
      </c>
      <c r="C352" s="20" t="s">
        <v>47</v>
      </c>
      <c r="D352" s="20" t="s">
        <v>53</v>
      </c>
      <c r="E352" s="20" t="s">
        <v>31</v>
      </c>
      <c r="F352" s="21">
        <v>2437.06</v>
      </c>
      <c r="G352" s="21">
        <v>253.81</v>
      </c>
      <c r="H352" s="22">
        <v>0.2</v>
      </c>
      <c r="I352" s="20">
        <v>12</v>
      </c>
      <c r="J352" s="23">
        <v>44783</v>
      </c>
      <c r="K352" s="20">
        <v>8</v>
      </c>
      <c r="L352" s="20">
        <v>2022</v>
      </c>
    </row>
    <row r="353" spans="1:12" x14ac:dyDescent="0.3">
      <c r="A353" s="16" t="s">
        <v>437</v>
      </c>
      <c r="B353" s="16" t="s">
        <v>129</v>
      </c>
      <c r="C353" s="16" t="s">
        <v>41</v>
      </c>
      <c r="D353" s="16" t="s">
        <v>38</v>
      </c>
      <c r="E353" s="16" t="s">
        <v>22</v>
      </c>
      <c r="F353" s="17">
        <v>775.59</v>
      </c>
      <c r="G353" s="17">
        <v>210.74</v>
      </c>
      <c r="H353" s="18">
        <v>0.1</v>
      </c>
      <c r="I353" s="16">
        <v>10</v>
      </c>
      <c r="J353" s="19">
        <v>45646</v>
      </c>
      <c r="K353" s="16">
        <v>12</v>
      </c>
      <c r="L353" s="16">
        <v>2024</v>
      </c>
    </row>
    <row r="354" spans="1:12" x14ac:dyDescent="0.3">
      <c r="A354" s="20" t="s">
        <v>438</v>
      </c>
      <c r="B354" s="20" t="s">
        <v>114</v>
      </c>
      <c r="C354" s="20" t="s">
        <v>47</v>
      </c>
      <c r="D354" s="20" t="s">
        <v>48</v>
      </c>
      <c r="E354" s="20" t="s">
        <v>31</v>
      </c>
      <c r="F354" s="21">
        <v>4311.55</v>
      </c>
      <c r="G354" s="21">
        <v>476.53</v>
      </c>
      <c r="H354" s="22">
        <v>0.1</v>
      </c>
      <c r="I354" s="20">
        <v>8</v>
      </c>
      <c r="J354" s="23">
        <v>45124</v>
      </c>
      <c r="K354" s="20">
        <v>7</v>
      </c>
      <c r="L354" s="20">
        <v>2023</v>
      </c>
    </row>
    <row r="355" spans="1:12" x14ac:dyDescent="0.3">
      <c r="A355" s="16" t="s">
        <v>439</v>
      </c>
      <c r="B355" s="16" t="s">
        <v>63</v>
      </c>
      <c r="C355" s="16" t="s">
        <v>41</v>
      </c>
      <c r="D355" s="16" t="s">
        <v>48</v>
      </c>
      <c r="E355" s="16" t="s">
        <v>31</v>
      </c>
      <c r="F355" s="17">
        <v>4136.43</v>
      </c>
      <c r="G355" s="17">
        <v>401.21</v>
      </c>
      <c r="H355" s="18">
        <v>0.1</v>
      </c>
      <c r="I355" s="16">
        <v>13</v>
      </c>
      <c r="J355" s="19">
        <v>45193</v>
      </c>
      <c r="K355" s="16">
        <v>9</v>
      </c>
      <c r="L355" s="16">
        <v>2023</v>
      </c>
    </row>
    <row r="356" spans="1:12" x14ac:dyDescent="0.3">
      <c r="A356" s="20" t="s">
        <v>440</v>
      </c>
      <c r="B356" s="20" t="s">
        <v>123</v>
      </c>
      <c r="C356" s="20" t="s">
        <v>47</v>
      </c>
      <c r="D356" s="20" t="s">
        <v>16</v>
      </c>
      <c r="E356" s="20" t="s">
        <v>17</v>
      </c>
      <c r="F356" s="21">
        <v>2417.81</v>
      </c>
      <c r="G356" s="21">
        <v>283.67</v>
      </c>
      <c r="H356" s="22">
        <v>0.1</v>
      </c>
      <c r="I356" s="20">
        <v>2</v>
      </c>
      <c r="J356" s="23">
        <v>44627</v>
      </c>
      <c r="K356" s="20">
        <v>3</v>
      </c>
      <c r="L356" s="20">
        <v>2022</v>
      </c>
    </row>
    <row r="357" spans="1:12" x14ac:dyDescent="0.3">
      <c r="A357" s="16" t="s">
        <v>441</v>
      </c>
      <c r="B357" s="16" t="s">
        <v>14</v>
      </c>
      <c r="C357" s="16" t="s">
        <v>41</v>
      </c>
      <c r="D357" s="16" t="s">
        <v>57</v>
      </c>
      <c r="E357" s="16" t="s">
        <v>17</v>
      </c>
      <c r="F357" s="17">
        <v>3225.43</v>
      </c>
      <c r="G357" s="17">
        <v>752.5</v>
      </c>
      <c r="H357" s="18">
        <v>0.05</v>
      </c>
      <c r="I357" s="16">
        <v>9</v>
      </c>
      <c r="J357" s="19">
        <v>44564</v>
      </c>
      <c r="K357" s="16">
        <v>1</v>
      </c>
      <c r="L357" s="16">
        <v>2022</v>
      </c>
    </row>
    <row r="358" spans="1:12" x14ac:dyDescent="0.3">
      <c r="A358" s="20" t="s">
        <v>442</v>
      </c>
      <c r="B358" s="20" t="s">
        <v>80</v>
      </c>
      <c r="C358" s="20" t="s">
        <v>20</v>
      </c>
      <c r="D358" s="20" t="s">
        <v>42</v>
      </c>
      <c r="E358" s="20" t="s">
        <v>22</v>
      </c>
      <c r="F358" s="21">
        <v>818.2</v>
      </c>
      <c r="G358" s="21">
        <v>90.85</v>
      </c>
      <c r="H358" s="22">
        <v>0.15</v>
      </c>
      <c r="I358" s="20">
        <v>15</v>
      </c>
      <c r="J358" s="23">
        <v>44639</v>
      </c>
      <c r="K358" s="20">
        <v>3</v>
      </c>
      <c r="L358" s="20">
        <v>2022</v>
      </c>
    </row>
    <row r="359" spans="1:12" x14ac:dyDescent="0.3">
      <c r="A359" s="16" t="s">
        <v>443</v>
      </c>
      <c r="B359" s="16" t="s">
        <v>216</v>
      </c>
      <c r="C359" s="16" t="s">
        <v>20</v>
      </c>
      <c r="D359" s="16" t="s">
        <v>57</v>
      </c>
      <c r="E359" s="16" t="s">
        <v>17</v>
      </c>
      <c r="F359" s="17">
        <v>341.52</v>
      </c>
      <c r="G359" s="17">
        <v>39.130000000000003</v>
      </c>
      <c r="H359" s="18">
        <v>0.2</v>
      </c>
      <c r="I359" s="16">
        <v>7</v>
      </c>
      <c r="J359" s="19">
        <v>44690</v>
      </c>
      <c r="K359" s="16">
        <v>5</v>
      </c>
      <c r="L359" s="16">
        <v>2022</v>
      </c>
    </row>
    <row r="360" spans="1:12" x14ac:dyDescent="0.3">
      <c r="A360" s="20" t="s">
        <v>444</v>
      </c>
      <c r="B360" s="20" t="s">
        <v>174</v>
      </c>
      <c r="C360" s="20" t="s">
        <v>47</v>
      </c>
      <c r="D360" s="20" t="s">
        <v>38</v>
      </c>
      <c r="E360" s="20" t="s">
        <v>22</v>
      </c>
      <c r="F360" s="21">
        <v>3147.71</v>
      </c>
      <c r="G360" s="21">
        <v>381.14</v>
      </c>
      <c r="H360" s="22">
        <v>0.25</v>
      </c>
      <c r="I360" s="20">
        <v>10</v>
      </c>
      <c r="J360" s="23">
        <v>45125</v>
      </c>
      <c r="K360" s="20">
        <v>7</v>
      </c>
      <c r="L360" s="20">
        <v>2023</v>
      </c>
    </row>
    <row r="361" spans="1:12" x14ac:dyDescent="0.3">
      <c r="A361" s="16" t="s">
        <v>445</v>
      </c>
      <c r="B361" s="16" t="s">
        <v>33</v>
      </c>
      <c r="C361" s="16" t="s">
        <v>15</v>
      </c>
      <c r="D361" s="16" t="s">
        <v>38</v>
      </c>
      <c r="E361" s="16" t="s">
        <v>22</v>
      </c>
      <c r="F361" s="17">
        <v>1542.92</v>
      </c>
      <c r="G361" s="17">
        <v>284.39999999999998</v>
      </c>
      <c r="H361" s="18">
        <v>0.1</v>
      </c>
      <c r="I361" s="16">
        <v>17</v>
      </c>
      <c r="J361" s="19">
        <v>44891</v>
      </c>
      <c r="K361" s="16">
        <v>11</v>
      </c>
      <c r="L361" s="16">
        <v>2022</v>
      </c>
    </row>
    <row r="362" spans="1:12" x14ac:dyDescent="0.3">
      <c r="A362" s="20" t="s">
        <v>446</v>
      </c>
      <c r="B362" s="20" t="s">
        <v>110</v>
      </c>
      <c r="C362" s="20" t="s">
        <v>15</v>
      </c>
      <c r="D362" s="20" t="s">
        <v>16</v>
      </c>
      <c r="E362" s="20" t="s">
        <v>17</v>
      </c>
      <c r="F362" s="21">
        <v>3953.2</v>
      </c>
      <c r="G362" s="21">
        <v>738.98</v>
      </c>
      <c r="H362" s="22">
        <v>0.15</v>
      </c>
      <c r="I362" s="20">
        <v>16</v>
      </c>
      <c r="J362" s="23">
        <v>45216</v>
      </c>
      <c r="K362" s="20">
        <v>10</v>
      </c>
      <c r="L362" s="20">
        <v>2023</v>
      </c>
    </row>
    <row r="363" spans="1:12" x14ac:dyDescent="0.3">
      <c r="A363" s="16" t="s">
        <v>447</v>
      </c>
      <c r="B363" s="16" t="s">
        <v>56</v>
      </c>
      <c r="C363" s="16" t="s">
        <v>20</v>
      </c>
      <c r="D363" s="16" t="s">
        <v>30</v>
      </c>
      <c r="E363" s="16" t="s">
        <v>31</v>
      </c>
      <c r="F363" s="17">
        <v>1063.1199999999999</v>
      </c>
      <c r="G363" s="17">
        <v>225.26</v>
      </c>
      <c r="H363" s="18">
        <v>0.15</v>
      </c>
      <c r="I363" s="16">
        <v>1</v>
      </c>
      <c r="J363" s="19">
        <v>44952</v>
      </c>
      <c r="K363" s="16">
        <v>1</v>
      </c>
      <c r="L363" s="16">
        <v>2023</v>
      </c>
    </row>
    <row r="364" spans="1:12" x14ac:dyDescent="0.3">
      <c r="A364" s="20" t="s">
        <v>448</v>
      </c>
      <c r="B364" s="20" t="s">
        <v>85</v>
      </c>
      <c r="C364" s="20" t="s">
        <v>25</v>
      </c>
      <c r="D364" s="20" t="s">
        <v>38</v>
      </c>
      <c r="E364" s="20" t="s">
        <v>22</v>
      </c>
      <c r="F364" s="21">
        <v>3880.84</v>
      </c>
      <c r="G364" s="21">
        <v>1199.74</v>
      </c>
      <c r="H364" s="22">
        <v>0.1</v>
      </c>
      <c r="I364" s="20">
        <v>4</v>
      </c>
      <c r="J364" s="23">
        <v>44873</v>
      </c>
      <c r="K364" s="20">
        <v>11</v>
      </c>
      <c r="L364" s="20">
        <v>2022</v>
      </c>
    </row>
    <row r="365" spans="1:12" x14ac:dyDescent="0.3">
      <c r="A365" s="16" t="s">
        <v>449</v>
      </c>
      <c r="B365" s="16" t="s">
        <v>298</v>
      </c>
      <c r="C365" s="16" t="s">
        <v>25</v>
      </c>
      <c r="D365" s="16" t="s">
        <v>26</v>
      </c>
      <c r="E365" s="16" t="s">
        <v>27</v>
      </c>
      <c r="F365" s="17">
        <v>3997.94</v>
      </c>
      <c r="G365" s="17">
        <v>1105.28</v>
      </c>
      <c r="H365" s="18">
        <v>0.05</v>
      </c>
      <c r="I365" s="16">
        <v>8</v>
      </c>
      <c r="J365" s="19">
        <v>45485</v>
      </c>
      <c r="K365" s="16">
        <v>7</v>
      </c>
      <c r="L365" s="16">
        <v>2024</v>
      </c>
    </row>
    <row r="366" spans="1:12" x14ac:dyDescent="0.3">
      <c r="A366" s="20" t="s">
        <v>450</v>
      </c>
      <c r="B366" s="20" t="s">
        <v>14</v>
      </c>
      <c r="C366" s="20" t="s">
        <v>47</v>
      </c>
      <c r="D366" s="20" t="s">
        <v>21</v>
      </c>
      <c r="E366" s="20" t="s">
        <v>22</v>
      </c>
      <c r="F366" s="21">
        <v>3044.09</v>
      </c>
      <c r="G366" s="21">
        <v>849.97</v>
      </c>
      <c r="H366" s="22">
        <v>0.15</v>
      </c>
      <c r="I366" s="20">
        <v>1</v>
      </c>
      <c r="J366" s="23">
        <v>45638</v>
      </c>
      <c r="K366" s="20">
        <v>12</v>
      </c>
      <c r="L366" s="20">
        <v>2024</v>
      </c>
    </row>
    <row r="367" spans="1:12" x14ac:dyDescent="0.3">
      <c r="A367" s="16" t="s">
        <v>451</v>
      </c>
      <c r="B367" s="16" t="s">
        <v>61</v>
      </c>
      <c r="C367" s="16" t="s">
        <v>25</v>
      </c>
      <c r="D367" s="16" t="s">
        <v>34</v>
      </c>
      <c r="E367" s="16" t="s">
        <v>35</v>
      </c>
      <c r="F367" s="17">
        <v>2902.92</v>
      </c>
      <c r="G367" s="17">
        <v>807.76</v>
      </c>
      <c r="H367" s="18">
        <v>0.1</v>
      </c>
      <c r="I367" s="16">
        <v>16</v>
      </c>
      <c r="J367" s="19">
        <v>45418</v>
      </c>
      <c r="K367" s="16">
        <v>5</v>
      </c>
      <c r="L367" s="16">
        <v>2024</v>
      </c>
    </row>
    <row r="368" spans="1:12" x14ac:dyDescent="0.3">
      <c r="A368" s="20" t="s">
        <v>452</v>
      </c>
      <c r="B368" s="20" t="s">
        <v>33</v>
      </c>
      <c r="C368" s="20" t="s">
        <v>15</v>
      </c>
      <c r="D368" s="20" t="s">
        <v>38</v>
      </c>
      <c r="E368" s="20" t="s">
        <v>22</v>
      </c>
      <c r="F368" s="21">
        <v>469.61</v>
      </c>
      <c r="G368" s="21">
        <v>54.49</v>
      </c>
      <c r="H368" s="22">
        <v>0.25</v>
      </c>
      <c r="I368" s="20">
        <v>17</v>
      </c>
      <c r="J368" s="23">
        <v>44937</v>
      </c>
      <c r="K368" s="20">
        <v>1</v>
      </c>
      <c r="L368" s="20">
        <v>2023</v>
      </c>
    </row>
    <row r="369" spans="1:12" x14ac:dyDescent="0.3">
      <c r="A369" s="16" t="s">
        <v>453</v>
      </c>
      <c r="B369" s="16" t="s">
        <v>80</v>
      </c>
      <c r="C369" s="16" t="s">
        <v>47</v>
      </c>
      <c r="D369" s="16" t="s">
        <v>34</v>
      </c>
      <c r="E369" s="16" t="s">
        <v>35</v>
      </c>
      <c r="F369" s="17">
        <v>826.35</v>
      </c>
      <c r="G369" s="17">
        <v>245.2</v>
      </c>
      <c r="H369" s="18">
        <v>0.1</v>
      </c>
      <c r="I369" s="16">
        <v>11</v>
      </c>
      <c r="J369" s="19">
        <v>44566</v>
      </c>
      <c r="K369" s="16">
        <v>1</v>
      </c>
      <c r="L369" s="16">
        <v>2022</v>
      </c>
    </row>
    <row r="370" spans="1:12" x14ac:dyDescent="0.3">
      <c r="A370" s="20" t="s">
        <v>454</v>
      </c>
      <c r="B370" s="20" t="s">
        <v>46</v>
      </c>
      <c r="C370" s="20" t="s">
        <v>47</v>
      </c>
      <c r="D370" s="20" t="s">
        <v>34</v>
      </c>
      <c r="E370" s="20" t="s">
        <v>35</v>
      </c>
      <c r="F370" s="21">
        <v>732.42</v>
      </c>
      <c r="G370" s="21">
        <v>173.13</v>
      </c>
      <c r="H370" s="22">
        <v>0.25</v>
      </c>
      <c r="I370" s="20">
        <v>3</v>
      </c>
      <c r="J370" s="23">
        <v>45282</v>
      </c>
      <c r="K370" s="20">
        <v>12</v>
      </c>
      <c r="L370" s="20">
        <v>2023</v>
      </c>
    </row>
    <row r="371" spans="1:12" x14ac:dyDescent="0.3">
      <c r="A371" s="16" t="s">
        <v>455</v>
      </c>
      <c r="B371" s="16" t="s">
        <v>123</v>
      </c>
      <c r="C371" s="16" t="s">
        <v>25</v>
      </c>
      <c r="D371" s="16" t="s">
        <v>57</v>
      </c>
      <c r="E371" s="16" t="s">
        <v>17</v>
      </c>
      <c r="F371" s="17">
        <v>1815.49</v>
      </c>
      <c r="G371" s="17">
        <v>206.96</v>
      </c>
      <c r="H371" s="18">
        <v>0.15</v>
      </c>
      <c r="I371" s="16">
        <v>6</v>
      </c>
      <c r="J371" s="19">
        <v>45499</v>
      </c>
      <c r="K371" s="16">
        <v>7</v>
      </c>
      <c r="L371" s="16">
        <v>2024</v>
      </c>
    </row>
    <row r="372" spans="1:12" x14ac:dyDescent="0.3">
      <c r="A372" s="20" t="s">
        <v>456</v>
      </c>
      <c r="B372" s="20" t="s">
        <v>131</v>
      </c>
      <c r="C372" s="20" t="s">
        <v>41</v>
      </c>
      <c r="D372" s="20" t="s">
        <v>38</v>
      </c>
      <c r="E372" s="20" t="s">
        <v>22</v>
      </c>
      <c r="F372" s="21">
        <v>3594.48</v>
      </c>
      <c r="G372" s="21">
        <v>737.02</v>
      </c>
      <c r="H372" s="22">
        <v>0.25</v>
      </c>
      <c r="I372" s="20">
        <v>20</v>
      </c>
      <c r="J372" s="23">
        <v>45038</v>
      </c>
      <c r="K372" s="20">
        <v>4</v>
      </c>
      <c r="L372" s="20">
        <v>2023</v>
      </c>
    </row>
    <row r="373" spans="1:12" x14ac:dyDescent="0.3">
      <c r="A373" s="16" t="s">
        <v>457</v>
      </c>
      <c r="B373" s="16" t="s">
        <v>110</v>
      </c>
      <c r="C373" s="16" t="s">
        <v>47</v>
      </c>
      <c r="D373" s="16" t="s">
        <v>34</v>
      </c>
      <c r="E373" s="16" t="s">
        <v>35</v>
      </c>
      <c r="F373" s="17">
        <v>1672.75</v>
      </c>
      <c r="G373" s="17">
        <v>187.45</v>
      </c>
      <c r="H373" s="18">
        <v>0.15</v>
      </c>
      <c r="I373" s="16">
        <v>1</v>
      </c>
      <c r="J373" s="19">
        <v>45578</v>
      </c>
      <c r="K373" s="16">
        <v>10</v>
      </c>
      <c r="L373" s="16">
        <v>2024</v>
      </c>
    </row>
    <row r="374" spans="1:12" x14ac:dyDescent="0.3">
      <c r="A374" s="20" t="s">
        <v>458</v>
      </c>
      <c r="B374" s="20" t="s">
        <v>131</v>
      </c>
      <c r="C374" s="20" t="s">
        <v>15</v>
      </c>
      <c r="D374" s="20" t="s">
        <v>34</v>
      </c>
      <c r="E374" s="20" t="s">
        <v>35</v>
      </c>
      <c r="F374" s="21">
        <v>3091.47</v>
      </c>
      <c r="G374" s="21">
        <v>359.9</v>
      </c>
      <c r="H374" s="22">
        <v>0.25</v>
      </c>
      <c r="I374" s="20">
        <v>19</v>
      </c>
      <c r="J374" s="23">
        <v>44778</v>
      </c>
      <c r="K374" s="20">
        <v>8</v>
      </c>
      <c r="L374" s="20">
        <v>2022</v>
      </c>
    </row>
    <row r="375" spans="1:12" x14ac:dyDescent="0.3">
      <c r="A375" s="16" t="s">
        <v>459</v>
      </c>
      <c r="B375" s="16" t="s">
        <v>14</v>
      </c>
      <c r="C375" s="16" t="s">
        <v>15</v>
      </c>
      <c r="D375" s="16" t="s">
        <v>30</v>
      </c>
      <c r="E375" s="16" t="s">
        <v>31</v>
      </c>
      <c r="F375" s="17">
        <v>1864.69</v>
      </c>
      <c r="G375" s="17">
        <v>225.02</v>
      </c>
      <c r="H375" s="18">
        <v>0.15</v>
      </c>
      <c r="I375" s="16">
        <v>3</v>
      </c>
      <c r="J375" s="19">
        <v>45617</v>
      </c>
      <c r="K375" s="16">
        <v>11</v>
      </c>
      <c r="L375" s="16">
        <v>2024</v>
      </c>
    </row>
    <row r="376" spans="1:12" x14ac:dyDescent="0.3">
      <c r="A376" s="20" t="s">
        <v>460</v>
      </c>
      <c r="B376" s="20" t="s">
        <v>19</v>
      </c>
      <c r="C376" s="20" t="s">
        <v>20</v>
      </c>
      <c r="D376" s="20" t="s">
        <v>30</v>
      </c>
      <c r="E376" s="20" t="s">
        <v>31</v>
      </c>
      <c r="F376" s="21">
        <v>1473.02</v>
      </c>
      <c r="G376" s="21">
        <v>362.31</v>
      </c>
      <c r="H376" s="22">
        <v>0.1</v>
      </c>
      <c r="I376" s="20">
        <v>12</v>
      </c>
      <c r="J376" s="23">
        <v>44981</v>
      </c>
      <c r="K376" s="20">
        <v>2</v>
      </c>
      <c r="L376" s="20">
        <v>2023</v>
      </c>
    </row>
    <row r="377" spans="1:12" x14ac:dyDescent="0.3">
      <c r="A377" s="16" t="s">
        <v>461</v>
      </c>
      <c r="B377" s="16" t="s">
        <v>110</v>
      </c>
      <c r="C377" s="16" t="s">
        <v>15</v>
      </c>
      <c r="D377" s="16" t="s">
        <v>48</v>
      </c>
      <c r="E377" s="16" t="s">
        <v>31</v>
      </c>
      <c r="F377" s="17">
        <v>2303.46</v>
      </c>
      <c r="G377" s="17">
        <v>630.73</v>
      </c>
      <c r="H377" s="18">
        <v>0.2</v>
      </c>
      <c r="I377" s="16">
        <v>14</v>
      </c>
      <c r="J377" s="19">
        <v>45119</v>
      </c>
      <c r="K377" s="16">
        <v>7</v>
      </c>
      <c r="L377" s="16">
        <v>2023</v>
      </c>
    </row>
    <row r="378" spans="1:12" x14ac:dyDescent="0.3">
      <c r="A378" s="20" t="s">
        <v>462</v>
      </c>
      <c r="B378" s="20" t="s">
        <v>123</v>
      </c>
      <c r="C378" s="20" t="s">
        <v>20</v>
      </c>
      <c r="D378" s="20" t="s">
        <v>16</v>
      </c>
      <c r="E378" s="20" t="s">
        <v>17</v>
      </c>
      <c r="F378" s="21">
        <v>4178.2700000000004</v>
      </c>
      <c r="G378" s="21">
        <v>823.36</v>
      </c>
      <c r="H378" s="22">
        <v>0.25</v>
      </c>
      <c r="I378" s="20">
        <v>8</v>
      </c>
      <c r="J378" s="23">
        <v>44776</v>
      </c>
      <c r="K378" s="20">
        <v>8</v>
      </c>
      <c r="L378" s="20">
        <v>2022</v>
      </c>
    </row>
    <row r="379" spans="1:12" x14ac:dyDescent="0.3">
      <c r="A379" s="16" t="s">
        <v>463</v>
      </c>
      <c r="B379" s="16" t="s">
        <v>29</v>
      </c>
      <c r="C379" s="16" t="s">
        <v>41</v>
      </c>
      <c r="D379" s="16" t="s">
        <v>48</v>
      </c>
      <c r="E379" s="16" t="s">
        <v>31</v>
      </c>
      <c r="F379" s="17">
        <v>1729.84</v>
      </c>
      <c r="G379" s="17">
        <v>194.82</v>
      </c>
      <c r="H379" s="18">
        <v>0.05</v>
      </c>
      <c r="I379" s="16">
        <v>6</v>
      </c>
      <c r="J379" s="19">
        <v>45009</v>
      </c>
      <c r="K379" s="16">
        <v>3</v>
      </c>
      <c r="L379" s="16">
        <v>2023</v>
      </c>
    </row>
    <row r="380" spans="1:12" x14ac:dyDescent="0.3">
      <c r="A380" s="20" t="s">
        <v>464</v>
      </c>
      <c r="B380" s="20" t="s">
        <v>112</v>
      </c>
      <c r="C380" s="20" t="s">
        <v>25</v>
      </c>
      <c r="D380" s="20" t="s">
        <v>53</v>
      </c>
      <c r="E380" s="20" t="s">
        <v>31</v>
      </c>
      <c r="F380" s="21">
        <v>4894.6000000000004</v>
      </c>
      <c r="G380" s="21">
        <v>1033.8900000000001</v>
      </c>
      <c r="H380" s="22">
        <v>0.15</v>
      </c>
      <c r="I380" s="20">
        <v>20</v>
      </c>
      <c r="J380" s="23">
        <v>45261</v>
      </c>
      <c r="K380" s="20">
        <v>12</v>
      </c>
      <c r="L380" s="20">
        <v>2023</v>
      </c>
    </row>
    <row r="381" spans="1:12" x14ac:dyDescent="0.3">
      <c r="A381" s="16" t="s">
        <v>465</v>
      </c>
      <c r="B381" s="16" t="s">
        <v>24</v>
      </c>
      <c r="C381" s="16" t="s">
        <v>47</v>
      </c>
      <c r="D381" s="16" t="s">
        <v>57</v>
      </c>
      <c r="E381" s="16" t="s">
        <v>17</v>
      </c>
      <c r="F381" s="17">
        <v>4470.82</v>
      </c>
      <c r="G381" s="17">
        <v>456.25</v>
      </c>
      <c r="H381" s="18">
        <v>0.1</v>
      </c>
      <c r="I381" s="16">
        <v>11</v>
      </c>
      <c r="J381" s="19">
        <v>44665</v>
      </c>
      <c r="K381" s="16">
        <v>4</v>
      </c>
      <c r="L381" s="16">
        <v>2022</v>
      </c>
    </row>
    <row r="382" spans="1:12" x14ac:dyDescent="0.3">
      <c r="A382" s="20" t="s">
        <v>466</v>
      </c>
      <c r="B382" s="20" t="s">
        <v>63</v>
      </c>
      <c r="C382" s="20" t="s">
        <v>25</v>
      </c>
      <c r="D382" s="20" t="s">
        <v>16</v>
      </c>
      <c r="E382" s="20" t="s">
        <v>17</v>
      </c>
      <c r="F382" s="21">
        <v>3370.87</v>
      </c>
      <c r="G382" s="21">
        <v>456.68</v>
      </c>
      <c r="H382" s="22">
        <v>0.15</v>
      </c>
      <c r="I382" s="20">
        <v>2</v>
      </c>
      <c r="J382" s="23">
        <v>45217</v>
      </c>
      <c r="K382" s="20">
        <v>10</v>
      </c>
      <c r="L382" s="20">
        <v>2023</v>
      </c>
    </row>
    <row r="383" spans="1:12" x14ac:dyDescent="0.3">
      <c r="A383" s="16" t="s">
        <v>467</v>
      </c>
      <c r="B383" s="16" t="s">
        <v>63</v>
      </c>
      <c r="C383" s="16" t="s">
        <v>47</v>
      </c>
      <c r="D383" s="16" t="s">
        <v>38</v>
      </c>
      <c r="E383" s="16" t="s">
        <v>22</v>
      </c>
      <c r="F383" s="17">
        <v>1931.98</v>
      </c>
      <c r="G383" s="17">
        <v>188.42</v>
      </c>
      <c r="H383" s="18">
        <v>0.2</v>
      </c>
      <c r="I383" s="16">
        <v>20</v>
      </c>
      <c r="J383" s="19">
        <v>45020</v>
      </c>
      <c r="K383" s="16">
        <v>4</v>
      </c>
      <c r="L383" s="16">
        <v>2023</v>
      </c>
    </row>
    <row r="384" spans="1:12" x14ac:dyDescent="0.3">
      <c r="A384" s="20" t="s">
        <v>468</v>
      </c>
      <c r="B384" s="20" t="s">
        <v>37</v>
      </c>
      <c r="C384" s="20" t="s">
        <v>47</v>
      </c>
      <c r="D384" s="20" t="s">
        <v>48</v>
      </c>
      <c r="E384" s="20" t="s">
        <v>31</v>
      </c>
      <c r="F384" s="21">
        <v>3263.32</v>
      </c>
      <c r="G384" s="21">
        <v>677.05</v>
      </c>
      <c r="H384" s="22">
        <v>0.05</v>
      </c>
      <c r="I384" s="20">
        <v>4</v>
      </c>
      <c r="J384" s="23">
        <v>45123</v>
      </c>
      <c r="K384" s="20">
        <v>7</v>
      </c>
      <c r="L384" s="20">
        <v>2023</v>
      </c>
    </row>
    <row r="385" spans="1:12" x14ac:dyDescent="0.3">
      <c r="A385" s="16" t="s">
        <v>469</v>
      </c>
      <c r="B385" s="16" t="s">
        <v>33</v>
      </c>
      <c r="C385" s="16" t="s">
        <v>41</v>
      </c>
      <c r="D385" s="16" t="s">
        <v>38</v>
      </c>
      <c r="E385" s="16" t="s">
        <v>22</v>
      </c>
      <c r="F385" s="17">
        <v>3280.96</v>
      </c>
      <c r="G385" s="17">
        <v>383.79</v>
      </c>
      <c r="H385" s="18">
        <v>0.2</v>
      </c>
      <c r="I385" s="16">
        <v>13</v>
      </c>
      <c r="J385" s="19">
        <v>45000</v>
      </c>
      <c r="K385" s="16">
        <v>3</v>
      </c>
      <c r="L385" s="16">
        <v>2023</v>
      </c>
    </row>
    <row r="386" spans="1:12" x14ac:dyDescent="0.3">
      <c r="A386" s="20" t="s">
        <v>470</v>
      </c>
      <c r="B386" s="20" t="s">
        <v>69</v>
      </c>
      <c r="C386" s="20" t="s">
        <v>41</v>
      </c>
      <c r="D386" s="20" t="s">
        <v>48</v>
      </c>
      <c r="E386" s="20" t="s">
        <v>31</v>
      </c>
      <c r="F386" s="21">
        <v>2432.2800000000002</v>
      </c>
      <c r="G386" s="21">
        <v>677.01</v>
      </c>
      <c r="H386" s="22">
        <v>0.1</v>
      </c>
      <c r="I386" s="20">
        <v>19</v>
      </c>
      <c r="J386" s="23">
        <v>44645</v>
      </c>
      <c r="K386" s="20">
        <v>3</v>
      </c>
      <c r="L386" s="20">
        <v>2022</v>
      </c>
    </row>
    <row r="387" spans="1:12" x14ac:dyDescent="0.3">
      <c r="A387" s="16" t="s">
        <v>471</v>
      </c>
      <c r="B387" s="16" t="s">
        <v>52</v>
      </c>
      <c r="C387" s="16" t="s">
        <v>15</v>
      </c>
      <c r="D387" s="16" t="s">
        <v>53</v>
      </c>
      <c r="E387" s="16" t="s">
        <v>31</v>
      </c>
      <c r="F387" s="17">
        <v>1850.2</v>
      </c>
      <c r="G387" s="17">
        <v>282.38</v>
      </c>
      <c r="H387" s="18">
        <v>0.25</v>
      </c>
      <c r="I387" s="16">
        <v>19</v>
      </c>
      <c r="J387" s="19">
        <v>44806</v>
      </c>
      <c r="K387" s="16">
        <v>9</v>
      </c>
      <c r="L387" s="16">
        <v>2022</v>
      </c>
    </row>
    <row r="388" spans="1:12" x14ac:dyDescent="0.3">
      <c r="A388" s="20" t="s">
        <v>472</v>
      </c>
      <c r="B388" s="20" t="s">
        <v>114</v>
      </c>
      <c r="C388" s="20" t="s">
        <v>25</v>
      </c>
      <c r="D388" s="20" t="s">
        <v>57</v>
      </c>
      <c r="E388" s="20" t="s">
        <v>17</v>
      </c>
      <c r="F388" s="21">
        <v>4835.01</v>
      </c>
      <c r="G388" s="21">
        <v>940.62</v>
      </c>
      <c r="H388" s="22">
        <v>0.2</v>
      </c>
      <c r="I388" s="20">
        <v>8</v>
      </c>
      <c r="J388" s="23">
        <v>45049</v>
      </c>
      <c r="K388" s="20">
        <v>5</v>
      </c>
      <c r="L388" s="20">
        <v>2023</v>
      </c>
    </row>
    <row r="389" spans="1:12" x14ac:dyDescent="0.3">
      <c r="A389" s="16" t="s">
        <v>473</v>
      </c>
      <c r="B389" s="16" t="s">
        <v>98</v>
      </c>
      <c r="C389" s="16" t="s">
        <v>15</v>
      </c>
      <c r="D389" s="16" t="s">
        <v>57</v>
      </c>
      <c r="E389" s="16" t="s">
        <v>17</v>
      </c>
      <c r="F389" s="17">
        <v>2941.86</v>
      </c>
      <c r="G389" s="17">
        <v>662.17</v>
      </c>
      <c r="H389" s="18">
        <v>0.25</v>
      </c>
      <c r="I389" s="16">
        <v>20</v>
      </c>
      <c r="J389" s="19">
        <v>44617</v>
      </c>
      <c r="K389" s="16">
        <v>2</v>
      </c>
      <c r="L389" s="16">
        <v>2022</v>
      </c>
    </row>
    <row r="390" spans="1:12" x14ac:dyDescent="0.3">
      <c r="A390" s="20" t="s">
        <v>474</v>
      </c>
      <c r="B390" s="20" t="s">
        <v>37</v>
      </c>
      <c r="C390" s="20" t="s">
        <v>47</v>
      </c>
      <c r="D390" s="20" t="s">
        <v>38</v>
      </c>
      <c r="E390" s="20" t="s">
        <v>22</v>
      </c>
      <c r="F390" s="21">
        <v>4866.3900000000003</v>
      </c>
      <c r="G390" s="21">
        <v>576.14</v>
      </c>
      <c r="H390" s="22">
        <v>0.1</v>
      </c>
      <c r="I390" s="20">
        <v>14</v>
      </c>
      <c r="J390" s="23">
        <v>44879</v>
      </c>
      <c r="K390" s="20">
        <v>11</v>
      </c>
      <c r="L390" s="20">
        <v>2022</v>
      </c>
    </row>
    <row r="391" spans="1:12" x14ac:dyDescent="0.3">
      <c r="A391" s="16" t="s">
        <v>475</v>
      </c>
      <c r="B391" s="16" t="s">
        <v>114</v>
      </c>
      <c r="C391" s="16" t="s">
        <v>47</v>
      </c>
      <c r="D391" s="16" t="s">
        <v>42</v>
      </c>
      <c r="E391" s="16" t="s">
        <v>22</v>
      </c>
      <c r="F391" s="17">
        <v>3056.23</v>
      </c>
      <c r="G391" s="17">
        <v>851.3</v>
      </c>
      <c r="H391" s="18">
        <v>0.15</v>
      </c>
      <c r="I391" s="16">
        <v>3</v>
      </c>
      <c r="J391" s="19">
        <v>44760</v>
      </c>
      <c r="K391" s="16">
        <v>7</v>
      </c>
      <c r="L391" s="16">
        <v>2022</v>
      </c>
    </row>
    <row r="392" spans="1:12" x14ac:dyDescent="0.3">
      <c r="A392" s="20" t="s">
        <v>476</v>
      </c>
      <c r="B392" s="20" t="s">
        <v>91</v>
      </c>
      <c r="C392" s="20" t="s">
        <v>25</v>
      </c>
      <c r="D392" s="20" t="s">
        <v>57</v>
      </c>
      <c r="E392" s="20" t="s">
        <v>17</v>
      </c>
      <c r="F392" s="21">
        <v>4311.8</v>
      </c>
      <c r="G392" s="21">
        <v>693.79</v>
      </c>
      <c r="H392" s="22">
        <v>0.25</v>
      </c>
      <c r="I392" s="20">
        <v>1</v>
      </c>
      <c r="J392" s="23">
        <v>45584</v>
      </c>
      <c r="K392" s="20">
        <v>10</v>
      </c>
      <c r="L392" s="20">
        <v>2024</v>
      </c>
    </row>
    <row r="393" spans="1:12" x14ac:dyDescent="0.3">
      <c r="A393" s="16" t="s">
        <v>477</v>
      </c>
      <c r="B393" s="16" t="s">
        <v>222</v>
      </c>
      <c r="C393" s="16" t="s">
        <v>20</v>
      </c>
      <c r="D393" s="16" t="s">
        <v>16</v>
      </c>
      <c r="E393" s="16" t="s">
        <v>17</v>
      </c>
      <c r="F393" s="17">
        <v>2189.3200000000002</v>
      </c>
      <c r="G393" s="17">
        <v>476.14</v>
      </c>
      <c r="H393" s="18">
        <v>0.1</v>
      </c>
      <c r="I393" s="16">
        <v>19</v>
      </c>
      <c r="J393" s="19">
        <v>44611</v>
      </c>
      <c r="K393" s="16">
        <v>2</v>
      </c>
      <c r="L393" s="16">
        <v>2022</v>
      </c>
    </row>
    <row r="394" spans="1:12" x14ac:dyDescent="0.3">
      <c r="A394" s="20" t="s">
        <v>478</v>
      </c>
      <c r="B394" s="20" t="s">
        <v>145</v>
      </c>
      <c r="C394" s="20" t="s">
        <v>41</v>
      </c>
      <c r="D394" s="20" t="s">
        <v>53</v>
      </c>
      <c r="E394" s="20" t="s">
        <v>31</v>
      </c>
      <c r="F394" s="21">
        <v>2771.04</v>
      </c>
      <c r="G394" s="21">
        <v>752.48</v>
      </c>
      <c r="H394" s="22">
        <v>0.15</v>
      </c>
      <c r="I394" s="20">
        <v>9</v>
      </c>
      <c r="J394" s="23">
        <v>45246</v>
      </c>
      <c r="K394" s="20">
        <v>11</v>
      </c>
      <c r="L394" s="20">
        <v>2023</v>
      </c>
    </row>
    <row r="395" spans="1:12" x14ac:dyDescent="0.3">
      <c r="A395" s="16" t="s">
        <v>479</v>
      </c>
      <c r="B395" s="16" t="s">
        <v>309</v>
      </c>
      <c r="C395" s="16" t="s">
        <v>25</v>
      </c>
      <c r="D395" s="16" t="s">
        <v>34</v>
      </c>
      <c r="E395" s="16" t="s">
        <v>35</v>
      </c>
      <c r="F395" s="17">
        <v>379.84</v>
      </c>
      <c r="G395" s="17">
        <v>64.81</v>
      </c>
      <c r="H395" s="18">
        <v>0.15</v>
      </c>
      <c r="I395" s="16">
        <v>20</v>
      </c>
      <c r="J395" s="19">
        <v>45619</v>
      </c>
      <c r="K395" s="16">
        <v>11</v>
      </c>
      <c r="L395" s="16">
        <v>2024</v>
      </c>
    </row>
    <row r="396" spans="1:12" x14ac:dyDescent="0.3">
      <c r="A396" s="20" t="s">
        <v>480</v>
      </c>
      <c r="B396" s="20" t="s">
        <v>40</v>
      </c>
      <c r="C396" s="20" t="s">
        <v>15</v>
      </c>
      <c r="D396" s="20" t="s">
        <v>57</v>
      </c>
      <c r="E396" s="20" t="s">
        <v>17</v>
      </c>
      <c r="F396" s="21">
        <v>4469.96</v>
      </c>
      <c r="G396" s="21">
        <v>1035.8399999999999</v>
      </c>
      <c r="H396" s="22">
        <v>0.15</v>
      </c>
      <c r="I396" s="20">
        <v>2</v>
      </c>
      <c r="J396" s="23">
        <v>45513</v>
      </c>
      <c r="K396" s="20">
        <v>8</v>
      </c>
      <c r="L396" s="20">
        <v>2024</v>
      </c>
    </row>
    <row r="397" spans="1:12" x14ac:dyDescent="0.3">
      <c r="A397" s="16" t="s">
        <v>481</v>
      </c>
      <c r="B397" s="16" t="s">
        <v>44</v>
      </c>
      <c r="C397" s="16" t="s">
        <v>15</v>
      </c>
      <c r="D397" s="16" t="s">
        <v>30</v>
      </c>
      <c r="E397" s="16" t="s">
        <v>31</v>
      </c>
      <c r="F397" s="17">
        <v>4123.45</v>
      </c>
      <c r="G397" s="17">
        <v>622.96</v>
      </c>
      <c r="H397" s="18">
        <v>0.15</v>
      </c>
      <c r="I397" s="16">
        <v>16</v>
      </c>
      <c r="J397" s="19">
        <v>45600</v>
      </c>
      <c r="K397" s="16">
        <v>11</v>
      </c>
      <c r="L397" s="16">
        <v>2024</v>
      </c>
    </row>
    <row r="398" spans="1:12" x14ac:dyDescent="0.3">
      <c r="A398" s="20" t="s">
        <v>482</v>
      </c>
      <c r="B398" s="20" t="s">
        <v>83</v>
      </c>
      <c r="C398" s="20" t="s">
        <v>47</v>
      </c>
      <c r="D398" s="20" t="s">
        <v>42</v>
      </c>
      <c r="E398" s="20" t="s">
        <v>22</v>
      </c>
      <c r="F398" s="21">
        <v>4876.25</v>
      </c>
      <c r="G398" s="21">
        <v>1144.97</v>
      </c>
      <c r="H398" s="22">
        <v>0.2</v>
      </c>
      <c r="I398" s="20">
        <v>11</v>
      </c>
      <c r="J398" s="23">
        <v>45274</v>
      </c>
      <c r="K398" s="20">
        <v>12</v>
      </c>
      <c r="L398" s="20">
        <v>2023</v>
      </c>
    </row>
    <row r="399" spans="1:12" x14ac:dyDescent="0.3">
      <c r="A399" s="16" t="s">
        <v>483</v>
      </c>
      <c r="B399" s="16" t="s">
        <v>120</v>
      </c>
      <c r="C399" s="16" t="s">
        <v>15</v>
      </c>
      <c r="D399" s="16" t="s">
        <v>34</v>
      </c>
      <c r="E399" s="16" t="s">
        <v>35</v>
      </c>
      <c r="F399" s="17">
        <v>2320.2399999999998</v>
      </c>
      <c r="G399" s="17">
        <v>529.45000000000005</v>
      </c>
      <c r="H399" s="18">
        <v>0.2</v>
      </c>
      <c r="I399" s="16">
        <v>17</v>
      </c>
      <c r="J399" s="19">
        <v>44943</v>
      </c>
      <c r="K399" s="16">
        <v>1</v>
      </c>
      <c r="L399" s="16">
        <v>2023</v>
      </c>
    </row>
    <row r="400" spans="1:12" x14ac:dyDescent="0.3">
      <c r="A400" s="20" t="s">
        <v>484</v>
      </c>
      <c r="B400" s="20" t="s">
        <v>83</v>
      </c>
      <c r="C400" s="20" t="s">
        <v>15</v>
      </c>
      <c r="D400" s="20" t="s">
        <v>21</v>
      </c>
      <c r="E400" s="20" t="s">
        <v>22</v>
      </c>
      <c r="F400" s="21">
        <v>3605.93</v>
      </c>
      <c r="G400" s="21">
        <v>386.3</v>
      </c>
      <c r="H400" s="22">
        <v>0.2</v>
      </c>
      <c r="I400" s="20">
        <v>17</v>
      </c>
      <c r="J400" s="23">
        <v>45297</v>
      </c>
      <c r="K400" s="20">
        <v>1</v>
      </c>
      <c r="L400" s="20">
        <v>2024</v>
      </c>
    </row>
    <row r="401" spans="1:12" x14ac:dyDescent="0.3">
      <c r="A401" s="16" t="s">
        <v>485</v>
      </c>
      <c r="B401" s="16" t="s">
        <v>114</v>
      </c>
      <c r="C401" s="16" t="s">
        <v>47</v>
      </c>
      <c r="D401" s="16" t="s">
        <v>42</v>
      </c>
      <c r="E401" s="16" t="s">
        <v>22</v>
      </c>
      <c r="F401" s="17">
        <v>476.61</v>
      </c>
      <c r="G401" s="17">
        <v>96.95</v>
      </c>
      <c r="H401" s="18">
        <v>0.05</v>
      </c>
      <c r="I401" s="16">
        <v>12</v>
      </c>
      <c r="J401" s="19">
        <v>45391</v>
      </c>
      <c r="K401" s="16">
        <v>4</v>
      </c>
      <c r="L401" s="16">
        <v>2024</v>
      </c>
    </row>
    <row r="402" spans="1:12" x14ac:dyDescent="0.3">
      <c r="A402" s="20" t="s">
        <v>486</v>
      </c>
      <c r="B402" s="20" t="s">
        <v>98</v>
      </c>
      <c r="C402" s="20" t="s">
        <v>20</v>
      </c>
      <c r="D402" s="20" t="s">
        <v>30</v>
      </c>
      <c r="E402" s="20" t="s">
        <v>31</v>
      </c>
      <c r="F402" s="21">
        <v>2105.3200000000002</v>
      </c>
      <c r="G402" s="21">
        <v>540.6</v>
      </c>
      <c r="H402" s="22">
        <v>0.05</v>
      </c>
      <c r="I402" s="20">
        <v>8</v>
      </c>
      <c r="J402" s="23">
        <v>45158</v>
      </c>
      <c r="K402" s="20">
        <v>8</v>
      </c>
      <c r="L402" s="20">
        <v>2023</v>
      </c>
    </row>
    <row r="403" spans="1:12" x14ac:dyDescent="0.3">
      <c r="A403" s="16" t="s">
        <v>487</v>
      </c>
      <c r="B403" s="16" t="s">
        <v>145</v>
      </c>
      <c r="C403" s="16" t="s">
        <v>47</v>
      </c>
      <c r="D403" s="16" t="s">
        <v>38</v>
      </c>
      <c r="E403" s="16" t="s">
        <v>22</v>
      </c>
      <c r="F403" s="17">
        <v>2477.9899999999998</v>
      </c>
      <c r="G403" s="17">
        <v>348.36</v>
      </c>
      <c r="H403" s="18">
        <v>0.25</v>
      </c>
      <c r="I403" s="16">
        <v>6</v>
      </c>
      <c r="J403" s="19">
        <v>45287</v>
      </c>
      <c r="K403" s="16">
        <v>12</v>
      </c>
      <c r="L403" s="16">
        <v>2023</v>
      </c>
    </row>
    <row r="404" spans="1:12" x14ac:dyDescent="0.3">
      <c r="A404" s="20" t="s">
        <v>488</v>
      </c>
      <c r="B404" s="20" t="s">
        <v>29</v>
      </c>
      <c r="C404" s="20" t="s">
        <v>41</v>
      </c>
      <c r="D404" s="20" t="s">
        <v>53</v>
      </c>
      <c r="E404" s="20" t="s">
        <v>31</v>
      </c>
      <c r="F404" s="21">
        <v>2055.52</v>
      </c>
      <c r="G404" s="21">
        <v>579.88</v>
      </c>
      <c r="H404" s="22">
        <v>0.1</v>
      </c>
      <c r="I404" s="20">
        <v>7</v>
      </c>
      <c r="J404" s="23">
        <v>44873</v>
      </c>
      <c r="K404" s="20">
        <v>11</v>
      </c>
      <c r="L404" s="20">
        <v>2022</v>
      </c>
    </row>
    <row r="405" spans="1:12" x14ac:dyDescent="0.3">
      <c r="A405" s="16" t="s">
        <v>489</v>
      </c>
      <c r="B405" s="16" t="s">
        <v>96</v>
      </c>
      <c r="C405" s="16" t="s">
        <v>41</v>
      </c>
      <c r="D405" s="16" t="s">
        <v>42</v>
      </c>
      <c r="E405" s="16" t="s">
        <v>22</v>
      </c>
      <c r="F405" s="17">
        <v>2165.63</v>
      </c>
      <c r="G405" s="17">
        <v>650.45000000000005</v>
      </c>
      <c r="H405" s="18">
        <v>0.05</v>
      </c>
      <c r="I405" s="16">
        <v>1</v>
      </c>
      <c r="J405" s="19">
        <v>45006</v>
      </c>
      <c r="K405" s="16">
        <v>3</v>
      </c>
      <c r="L405" s="16">
        <v>2023</v>
      </c>
    </row>
    <row r="406" spans="1:12" x14ac:dyDescent="0.3">
      <c r="A406" s="20" t="s">
        <v>490</v>
      </c>
      <c r="B406" s="20" t="s">
        <v>80</v>
      </c>
      <c r="C406" s="20" t="s">
        <v>25</v>
      </c>
      <c r="D406" s="20" t="s">
        <v>21</v>
      </c>
      <c r="E406" s="20" t="s">
        <v>22</v>
      </c>
      <c r="F406" s="21">
        <v>240.63</v>
      </c>
      <c r="G406" s="21">
        <v>51.56</v>
      </c>
      <c r="H406" s="22">
        <v>0.15</v>
      </c>
      <c r="I406" s="20">
        <v>10</v>
      </c>
      <c r="J406" s="23">
        <v>45647</v>
      </c>
      <c r="K406" s="20">
        <v>12</v>
      </c>
      <c r="L406" s="20">
        <v>2024</v>
      </c>
    </row>
    <row r="407" spans="1:12" x14ac:dyDescent="0.3">
      <c r="A407" s="16" t="s">
        <v>491</v>
      </c>
      <c r="B407" s="16" t="s">
        <v>112</v>
      </c>
      <c r="C407" s="16" t="s">
        <v>20</v>
      </c>
      <c r="D407" s="16" t="s">
        <v>26</v>
      </c>
      <c r="E407" s="16" t="s">
        <v>27</v>
      </c>
      <c r="F407" s="17">
        <v>2007.08</v>
      </c>
      <c r="G407" s="17">
        <v>366.37</v>
      </c>
      <c r="H407" s="18">
        <v>0.15</v>
      </c>
      <c r="I407" s="16">
        <v>7</v>
      </c>
      <c r="J407" s="19">
        <v>45068</v>
      </c>
      <c r="K407" s="16">
        <v>5</v>
      </c>
      <c r="L407" s="16">
        <v>2023</v>
      </c>
    </row>
    <row r="408" spans="1:12" x14ac:dyDescent="0.3">
      <c r="A408" s="20" t="s">
        <v>492</v>
      </c>
      <c r="B408" s="20" t="s">
        <v>40</v>
      </c>
      <c r="C408" s="20" t="s">
        <v>25</v>
      </c>
      <c r="D408" s="20" t="s">
        <v>16</v>
      </c>
      <c r="E408" s="20" t="s">
        <v>17</v>
      </c>
      <c r="F408" s="21">
        <v>3005.54</v>
      </c>
      <c r="G408" s="21">
        <v>650.65</v>
      </c>
      <c r="H408" s="22">
        <v>0.05</v>
      </c>
      <c r="I408" s="20">
        <v>12</v>
      </c>
      <c r="J408" s="23">
        <v>45616</v>
      </c>
      <c r="K408" s="20">
        <v>11</v>
      </c>
      <c r="L408" s="20">
        <v>2024</v>
      </c>
    </row>
    <row r="409" spans="1:12" x14ac:dyDescent="0.3">
      <c r="A409" s="16" t="s">
        <v>493</v>
      </c>
      <c r="B409" s="16" t="s">
        <v>83</v>
      </c>
      <c r="C409" s="16" t="s">
        <v>41</v>
      </c>
      <c r="D409" s="16" t="s">
        <v>34</v>
      </c>
      <c r="E409" s="16" t="s">
        <v>35</v>
      </c>
      <c r="F409" s="17">
        <v>3485.18</v>
      </c>
      <c r="G409" s="17">
        <v>323.31</v>
      </c>
      <c r="H409" s="18">
        <v>0.2</v>
      </c>
      <c r="I409" s="16">
        <v>9</v>
      </c>
      <c r="J409" s="19">
        <v>45471</v>
      </c>
      <c r="K409" s="16">
        <v>6</v>
      </c>
      <c r="L409" s="16">
        <v>2024</v>
      </c>
    </row>
    <row r="410" spans="1:12" x14ac:dyDescent="0.3">
      <c r="A410" s="20" t="s">
        <v>494</v>
      </c>
      <c r="B410" s="20" t="s">
        <v>96</v>
      </c>
      <c r="C410" s="20" t="s">
        <v>41</v>
      </c>
      <c r="D410" s="20" t="s">
        <v>26</v>
      </c>
      <c r="E410" s="20" t="s">
        <v>27</v>
      </c>
      <c r="F410" s="21">
        <v>3613.25</v>
      </c>
      <c r="G410" s="21">
        <v>451.75</v>
      </c>
      <c r="H410" s="22">
        <v>0.15</v>
      </c>
      <c r="I410" s="20">
        <v>17</v>
      </c>
      <c r="J410" s="23">
        <v>44587</v>
      </c>
      <c r="K410" s="20">
        <v>1</v>
      </c>
      <c r="L410" s="20">
        <v>2022</v>
      </c>
    </row>
    <row r="411" spans="1:12" x14ac:dyDescent="0.3">
      <c r="A411" s="16" t="s">
        <v>495</v>
      </c>
      <c r="B411" s="16" t="s">
        <v>52</v>
      </c>
      <c r="C411" s="16" t="s">
        <v>20</v>
      </c>
      <c r="D411" s="16" t="s">
        <v>34</v>
      </c>
      <c r="E411" s="16" t="s">
        <v>35</v>
      </c>
      <c r="F411" s="17">
        <v>1734.01</v>
      </c>
      <c r="G411" s="17">
        <v>437.47</v>
      </c>
      <c r="H411" s="18">
        <v>0.1</v>
      </c>
      <c r="I411" s="16">
        <v>16</v>
      </c>
      <c r="J411" s="19">
        <v>45060</v>
      </c>
      <c r="K411" s="16">
        <v>5</v>
      </c>
      <c r="L411" s="16">
        <v>2023</v>
      </c>
    </row>
    <row r="412" spans="1:12" x14ac:dyDescent="0.3">
      <c r="A412" s="20" t="s">
        <v>496</v>
      </c>
      <c r="B412" s="20" t="s">
        <v>138</v>
      </c>
      <c r="C412" s="20" t="s">
        <v>20</v>
      </c>
      <c r="D412" s="20" t="s">
        <v>57</v>
      </c>
      <c r="E412" s="20" t="s">
        <v>17</v>
      </c>
      <c r="F412" s="21">
        <v>369.53</v>
      </c>
      <c r="G412" s="21">
        <v>84.25</v>
      </c>
      <c r="H412" s="22">
        <v>0.25</v>
      </c>
      <c r="I412" s="20">
        <v>11</v>
      </c>
      <c r="J412" s="23">
        <v>45634</v>
      </c>
      <c r="K412" s="20">
        <v>12</v>
      </c>
      <c r="L412" s="20">
        <v>2024</v>
      </c>
    </row>
    <row r="413" spans="1:12" x14ac:dyDescent="0.3">
      <c r="A413" s="16" t="s">
        <v>497</v>
      </c>
      <c r="B413" s="16" t="s">
        <v>177</v>
      </c>
      <c r="C413" s="16" t="s">
        <v>20</v>
      </c>
      <c r="D413" s="16" t="s">
        <v>16</v>
      </c>
      <c r="E413" s="16" t="s">
        <v>17</v>
      </c>
      <c r="F413" s="17">
        <v>4715.21</v>
      </c>
      <c r="G413" s="17">
        <v>909.11</v>
      </c>
      <c r="H413" s="18">
        <v>0.15</v>
      </c>
      <c r="I413" s="16">
        <v>6</v>
      </c>
      <c r="J413" s="19">
        <v>45541</v>
      </c>
      <c r="K413" s="16">
        <v>9</v>
      </c>
      <c r="L413" s="16">
        <v>2024</v>
      </c>
    </row>
    <row r="414" spans="1:12" x14ac:dyDescent="0.3">
      <c r="A414" s="20" t="s">
        <v>498</v>
      </c>
      <c r="B414" s="20" t="s">
        <v>309</v>
      </c>
      <c r="C414" s="20" t="s">
        <v>15</v>
      </c>
      <c r="D414" s="20" t="s">
        <v>26</v>
      </c>
      <c r="E414" s="20" t="s">
        <v>27</v>
      </c>
      <c r="F414" s="21">
        <v>814.13</v>
      </c>
      <c r="G414" s="21">
        <v>194.66</v>
      </c>
      <c r="H414" s="22">
        <v>0.15</v>
      </c>
      <c r="I414" s="20">
        <v>18</v>
      </c>
      <c r="J414" s="23">
        <v>44876</v>
      </c>
      <c r="K414" s="20">
        <v>11</v>
      </c>
      <c r="L414" s="20">
        <v>2022</v>
      </c>
    </row>
    <row r="415" spans="1:12" x14ac:dyDescent="0.3">
      <c r="A415" s="16" t="s">
        <v>499</v>
      </c>
      <c r="B415" s="16" t="s">
        <v>85</v>
      </c>
      <c r="C415" s="16" t="s">
        <v>47</v>
      </c>
      <c r="D415" s="16" t="s">
        <v>53</v>
      </c>
      <c r="E415" s="16" t="s">
        <v>31</v>
      </c>
      <c r="F415" s="17">
        <v>1271.97</v>
      </c>
      <c r="G415" s="17">
        <v>221.77</v>
      </c>
      <c r="H415" s="18">
        <v>0.15</v>
      </c>
      <c r="I415" s="16">
        <v>11</v>
      </c>
      <c r="J415" s="19">
        <v>45065</v>
      </c>
      <c r="K415" s="16">
        <v>5</v>
      </c>
      <c r="L415" s="16">
        <v>2023</v>
      </c>
    </row>
    <row r="416" spans="1:12" x14ac:dyDescent="0.3">
      <c r="A416" s="20" t="s">
        <v>500</v>
      </c>
      <c r="B416" s="20" t="s">
        <v>129</v>
      </c>
      <c r="C416" s="20" t="s">
        <v>20</v>
      </c>
      <c r="D416" s="20" t="s">
        <v>26</v>
      </c>
      <c r="E416" s="20" t="s">
        <v>27</v>
      </c>
      <c r="F416" s="21">
        <v>765.35</v>
      </c>
      <c r="G416" s="21">
        <v>230.19</v>
      </c>
      <c r="H416" s="22">
        <v>0.05</v>
      </c>
      <c r="I416" s="20">
        <v>19</v>
      </c>
      <c r="J416" s="23">
        <v>45568</v>
      </c>
      <c r="K416" s="20">
        <v>10</v>
      </c>
      <c r="L416" s="20">
        <v>2024</v>
      </c>
    </row>
    <row r="417" spans="1:12" x14ac:dyDescent="0.3">
      <c r="A417" s="16" t="s">
        <v>501</v>
      </c>
      <c r="B417" s="16" t="s">
        <v>98</v>
      </c>
      <c r="C417" s="16" t="s">
        <v>47</v>
      </c>
      <c r="D417" s="16" t="s">
        <v>38</v>
      </c>
      <c r="E417" s="16" t="s">
        <v>22</v>
      </c>
      <c r="F417" s="17">
        <v>775.12</v>
      </c>
      <c r="G417" s="17">
        <v>144.15</v>
      </c>
      <c r="H417" s="18">
        <v>0.2</v>
      </c>
      <c r="I417" s="16">
        <v>14</v>
      </c>
      <c r="J417" s="19">
        <v>44625</v>
      </c>
      <c r="K417" s="16">
        <v>3</v>
      </c>
      <c r="L417" s="16">
        <v>2022</v>
      </c>
    </row>
    <row r="418" spans="1:12" x14ac:dyDescent="0.3">
      <c r="A418" s="20" t="s">
        <v>502</v>
      </c>
      <c r="B418" s="20" t="s">
        <v>114</v>
      </c>
      <c r="C418" s="20" t="s">
        <v>41</v>
      </c>
      <c r="D418" s="20" t="s">
        <v>42</v>
      </c>
      <c r="E418" s="20" t="s">
        <v>22</v>
      </c>
      <c r="F418" s="21">
        <v>4938.5200000000004</v>
      </c>
      <c r="G418" s="21">
        <v>536.54</v>
      </c>
      <c r="H418" s="22">
        <v>0.2</v>
      </c>
      <c r="I418" s="20">
        <v>6</v>
      </c>
      <c r="J418" s="23">
        <v>44784</v>
      </c>
      <c r="K418" s="20">
        <v>8</v>
      </c>
      <c r="L418" s="20">
        <v>2022</v>
      </c>
    </row>
    <row r="419" spans="1:12" x14ac:dyDescent="0.3">
      <c r="A419" s="16" t="s">
        <v>503</v>
      </c>
      <c r="B419" s="16" t="s">
        <v>74</v>
      </c>
      <c r="C419" s="16" t="s">
        <v>41</v>
      </c>
      <c r="D419" s="16" t="s">
        <v>21</v>
      </c>
      <c r="E419" s="16" t="s">
        <v>22</v>
      </c>
      <c r="F419" s="17">
        <v>478.47</v>
      </c>
      <c r="G419" s="17">
        <v>64.45</v>
      </c>
      <c r="H419" s="18">
        <v>0.2</v>
      </c>
      <c r="I419" s="16">
        <v>6</v>
      </c>
      <c r="J419" s="19">
        <v>45367</v>
      </c>
      <c r="K419" s="16">
        <v>3</v>
      </c>
      <c r="L419" s="16">
        <v>2024</v>
      </c>
    </row>
    <row r="420" spans="1:12" x14ac:dyDescent="0.3">
      <c r="A420" s="20" t="s">
        <v>504</v>
      </c>
      <c r="B420" s="20" t="s">
        <v>202</v>
      </c>
      <c r="C420" s="20" t="s">
        <v>47</v>
      </c>
      <c r="D420" s="20" t="s">
        <v>53</v>
      </c>
      <c r="E420" s="20" t="s">
        <v>31</v>
      </c>
      <c r="F420" s="21">
        <v>2281.81</v>
      </c>
      <c r="G420" s="21">
        <v>366.64</v>
      </c>
      <c r="H420" s="22">
        <v>0.2</v>
      </c>
      <c r="I420" s="20">
        <v>16</v>
      </c>
      <c r="J420" s="23">
        <v>44928</v>
      </c>
      <c r="K420" s="20">
        <v>1</v>
      </c>
      <c r="L420" s="20">
        <v>2023</v>
      </c>
    </row>
    <row r="421" spans="1:12" x14ac:dyDescent="0.3">
      <c r="A421" s="16" t="s">
        <v>505</v>
      </c>
      <c r="B421" s="16" t="s">
        <v>141</v>
      </c>
      <c r="C421" s="16" t="s">
        <v>47</v>
      </c>
      <c r="D421" s="16" t="s">
        <v>16</v>
      </c>
      <c r="E421" s="16" t="s">
        <v>17</v>
      </c>
      <c r="F421" s="17">
        <v>1990.89</v>
      </c>
      <c r="G421" s="17">
        <v>610.91</v>
      </c>
      <c r="H421" s="18">
        <v>0.05</v>
      </c>
      <c r="I421" s="16">
        <v>17</v>
      </c>
      <c r="J421" s="19">
        <v>44583</v>
      </c>
      <c r="K421" s="16">
        <v>1</v>
      </c>
      <c r="L421" s="16">
        <v>2022</v>
      </c>
    </row>
    <row r="422" spans="1:12" x14ac:dyDescent="0.3">
      <c r="A422" s="20" t="s">
        <v>506</v>
      </c>
      <c r="B422" s="20" t="s">
        <v>103</v>
      </c>
      <c r="C422" s="20" t="s">
        <v>47</v>
      </c>
      <c r="D422" s="20" t="s">
        <v>48</v>
      </c>
      <c r="E422" s="20" t="s">
        <v>31</v>
      </c>
      <c r="F422" s="21">
        <v>3528.92</v>
      </c>
      <c r="G422" s="21">
        <v>533.99</v>
      </c>
      <c r="H422" s="22">
        <v>0.15</v>
      </c>
      <c r="I422" s="20">
        <v>4</v>
      </c>
      <c r="J422" s="23">
        <v>45188</v>
      </c>
      <c r="K422" s="20">
        <v>9</v>
      </c>
      <c r="L422" s="20">
        <v>2023</v>
      </c>
    </row>
    <row r="423" spans="1:12" x14ac:dyDescent="0.3">
      <c r="A423" s="16" t="s">
        <v>507</v>
      </c>
      <c r="B423" s="16" t="s">
        <v>46</v>
      </c>
      <c r="C423" s="16" t="s">
        <v>47</v>
      </c>
      <c r="D423" s="16" t="s">
        <v>26</v>
      </c>
      <c r="E423" s="16" t="s">
        <v>27</v>
      </c>
      <c r="F423" s="17">
        <v>4154.45</v>
      </c>
      <c r="G423" s="17">
        <v>1190.45</v>
      </c>
      <c r="H423" s="18">
        <v>0.15</v>
      </c>
      <c r="I423" s="16">
        <v>15</v>
      </c>
      <c r="J423" s="19">
        <v>45555</v>
      </c>
      <c r="K423" s="16">
        <v>9</v>
      </c>
      <c r="L423" s="16">
        <v>2024</v>
      </c>
    </row>
    <row r="424" spans="1:12" x14ac:dyDescent="0.3">
      <c r="A424" s="20" t="s">
        <v>508</v>
      </c>
      <c r="B424" s="20" t="s">
        <v>265</v>
      </c>
      <c r="C424" s="20" t="s">
        <v>41</v>
      </c>
      <c r="D424" s="20" t="s">
        <v>16</v>
      </c>
      <c r="E424" s="20" t="s">
        <v>17</v>
      </c>
      <c r="F424" s="21">
        <v>4462.28</v>
      </c>
      <c r="G424" s="21">
        <v>745.71</v>
      </c>
      <c r="H424" s="22">
        <v>0.1</v>
      </c>
      <c r="I424" s="20">
        <v>16</v>
      </c>
      <c r="J424" s="23">
        <v>45022</v>
      </c>
      <c r="K424" s="20">
        <v>4</v>
      </c>
      <c r="L424" s="20">
        <v>2023</v>
      </c>
    </row>
    <row r="425" spans="1:12" x14ac:dyDescent="0.3">
      <c r="A425" s="16" t="s">
        <v>509</v>
      </c>
      <c r="B425" s="16" t="s">
        <v>103</v>
      </c>
      <c r="C425" s="16" t="s">
        <v>15</v>
      </c>
      <c r="D425" s="16" t="s">
        <v>57</v>
      </c>
      <c r="E425" s="16" t="s">
        <v>17</v>
      </c>
      <c r="F425" s="17">
        <v>1276.74</v>
      </c>
      <c r="G425" s="17">
        <v>175.57</v>
      </c>
      <c r="H425" s="18">
        <v>0.1</v>
      </c>
      <c r="I425" s="16">
        <v>1</v>
      </c>
      <c r="J425" s="19">
        <v>45541</v>
      </c>
      <c r="K425" s="16">
        <v>9</v>
      </c>
      <c r="L425" s="16">
        <v>2024</v>
      </c>
    </row>
    <row r="426" spans="1:12" x14ac:dyDescent="0.3">
      <c r="A426" s="20" t="s">
        <v>510</v>
      </c>
      <c r="B426" s="20" t="s">
        <v>101</v>
      </c>
      <c r="C426" s="20" t="s">
        <v>41</v>
      </c>
      <c r="D426" s="20" t="s">
        <v>53</v>
      </c>
      <c r="E426" s="20" t="s">
        <v>31</v>
      </c>
      <c r="F426" s="21">
        <v>3322.59</v>
      </c>
      <c r="G426" s="21">
        <v>611.72</v>
      </c>
      <c r="H426" s="22">
        <v>0.05</v>
      </c>
      <c r="I426" s="20">
        <v>9</v>
      </c>
      <c r="J426" s="23">
        <v>45567</v>
      </c>
      <c r="K426" s="20">
        <v>10</v>
      </c>
      <c r="L426" s="20">
        <v>2024</v>
      </c>
    </row>
    <row r="427" spans="1:12" x14ac:dyDescent="0.3">
      <c r="A427" s="16" t="s">
        <v>511</v>
      </c>
      <c r="B427" s="16" t="s">
        <v>52</v>
      </c>
      <c r="C427" s="16" t="s">
        <v>15</v>
      </c>
      <c r="D427" s="16" t="s">
        <v>34</v>
      </c>
      <c r="E427" s="16" t="s">
        <v>35</v>
      </c>
      <c r="F427" s="17">
        <v>718.94</v>
      </c>
      <c r="G427" s="17">
        <v>76.540000000000006</v>
      </c>
      <c r="H427" s="18">
        <v>0.05</v>
      </c>
      <c r="I427" s="16">
        <v>4</v>
      </c>
      <c r="J427" s="19">
        <v>45151</v>
      </c>
      <c r="K427" s="16">
        <v>8</v>
      </c>
      <c r="L427" s="16">
        <v>2023</v>
      </c>
    </row>
    <row r="428" spans="1:12" x14ac:dyDescent="0.3">
      <c r="A428" s="20" t="s">
        <v>512</v>
      </c>
      <c r="B428" s="20" t="s">
        <v>63</v>
      </c>
      <c r="C428" s="20" t="s">
        <v>25</v>
      </c>
      <c r="D428" s="20" t="s">
        <v>53</v>
      </c>
      <c r="E428" s="20" t="s">
        <v>31</v>
      </c>
      <c r="F428" s="21">
        <v>2477.1</v>
      </c>
      <c r="G428" s="21">
        <v>337.47</v>
      </c>
      <c r="H428" s="22">
        <v>0.1</v>
      </c>
      <c r="I428" s="20">
        <v>1</v>
      </c>
      <c r="J428" s="23">
        <v>45129</v>
      </c>
      <c r="K428" s="20">
        <v>7</v>
      </c>
      <c r="L428" s="20">
        <v>2023</v>
      </c>
    </row>
    <row r="429" spans="1:12" x14ac:dyDescent="0.3">
      <c r="A429" s="16" t="s">
        <v>513</v>
      </c>
      <c r="B429" s="16" t="s">
        <v>56</v>
      </c>
      <c r="C429" s="16" t="s">
        <v>25</v>
      </c>
      <c r="D429" s="16" t="s">
        <v>53</v>
      </c>
      <c r="E429" s="16" t="s">
        <v>31</v>
      </c>
      <c r="F429" s="17">
        <v>3189.43</v>
      </c>
      <c r="G429" s="17">
        <v>587.61</v>
      </c>
      <c r="H429" s="18">
        <v>0.1</v>
      </c>
      <c r="I429" s="16">
        <v>4</v>
      </c>
      <c r="J429" s="19">
        <v>45646</v>
      </c>
      <c r="K429" s="16">
        <v>12</v>
      </c>
      <c r="L429" s="16">
        <v>2024</v>
      </c>
    </row>
    <row r="430" spans="1:12" x14ac:dyDescent="0.3">
      <c r="A430" s="20" t="s">
        <v>514</v>
      </c>
      <c r="B430" s="20" t="s">
        <v>222</v>
      </c>
      <c r="C430" s="20" t="s">
        <v>41</v>
      </c>
      <c r="D430" s="20" t="s">
        <v>53</v>
      </c>
      <c r="E430" s="20" t="s">
        <v>31</v>
      </c>
      <c r="F430" s="21">
        <v>3966.85</v>
      </c>
      <c r="G430" s="21">
        <v>474.95</v>
      </c>
      <c r="H430" s="22">
        <v>0.2</v>
      </c>
      <c r="I430" s="20">
        <v>7</v>
      </c>
      <c r="J430" s="23">
        <v>45176</v>
      </c>
      <c r="K430" s="20">
        <v>9</v>
      </c>
      <c r="L430" s="20">
        <v>2023</v>
      </c>
    </row>
    <row r="431" spans="1:12" x14ac:dyDescent="0.3">
      <c r="A431" s="16" t="s">
        <v>515</v>
      </c>
      <c r="B431" s="16" t="s">
        <v>98</v>
      </c>
      <c r="C431" s="16" t="s">
        <v>20</v>
      </c>
      <c r="D431" s="16" t="s">
        <v>30</v>
      </c>
      <c r="E431" s="16" t="s">
        <v>31</v>
      </c>
      <c r="F431" s="17">
        <v>969.79</v>
      </c>
      <c r="G431" s="17">
        <v>162.99</v>
      </c>
      <c r="H431" s="18">
        <v>0.25</v>
      </c>
      <c r="I431" s="16">
        <v>7</v>
      </c>
      <c r="J431" s="19">
        <v>45515</v>
      </c>
      <c r="K431" s="16">
        <v>8</v>
      </c>
      <c r="L431" s="16">
        <v>2024</v>
      </c>
    </row>
    <row r="432" spans="1:12" x14ac:dyDescent="0.3">
      <c r="A432" s="20" t="s">
        <v>516</v>
      </c>
      <c r="B432" s="20" t="s">
        <v>19</v>
      </c>
      <c r="C432" s="20" t="s">
        <v>15</v>
      </c>
      <c r="D432" s="20" t="s">
        <v>42</v>
      </c>
      <c r="E432" s="20" t="s">
        <v>22</v>
      </c>
      <c r="F432" s="21">
        <v>3423.84</v>
      </c>
      <c r="G432" s="21">
        <v>1004.44</v>
      </c>
      <c r="H432" s="22">
        <v>0.05</v>
      </c>
      <c r="I432" s="20">
        <v>16</v>
      </c>
      <c r="J432" s="23">
        <v>44617</v>
      </c>
      <c r="K432" s="20">
        <v>2</v>
      </c>
      <c r="L432" s="20">
        <v>2022</v>
      </c>
    </row>
    <row r="433" spans="1:12" x14ac:dyDescent="0.3">
      <c r="A433" s="16" t="s">
        <v>517</v>
      </c>
      <c r="B433" s="16" t="s">
        <v>141</v>
      </c>
      <c r="C433" s="16" t="s">
        <v>15</v>
      </c>
      <c r="D433" s="16" t="s">
        <v>16</v>
      </c>
      <c r="E433" s="16" t="s">
        <v>17</v>
      </c>
      <c r="F433" s="17">
        <v>3673.17</v>
      </c>
      <c r="G433" s="17">
        <v>815.16</v>
      </c>
      <c r="H433" s="18">
        <v>0.15</v>
      </c>
      <c r="I433" s="16">
        <v>15</v>
      </c>
      <c r="J433" s="19">
        <v>45061</v>
      </c>
      <c r="K433" s="16">
        <v>5</v>
      </c>
      <c r="L433" s="16">
        <v>2023</v>
      </c>
    </row>
    <row r="434" spans="1:12" x14ac:dyDescent="0.3">
      <c r="A434" s="20" t="s">
        <v>518</v>
      </c>
      <c r="B434" s="20" t="s">
        <v>298</v>
      </c>
      <c r="C434" s="20" t="s">
        <v>15</v>
      </c>
      <c r="D434" s="20" t="s">
        <v>48</v>
      </c>
      <c r="E434" s="20" t="s">
        <v>31</v>
      </c>
      <c r="F434" s="21">
        <v>1038.57</v>
      </c>
      <c r="G434" s="21">
        <v>308.88</v>
      </c>
      <c r="H434" s="22">
        <v>0.05</v>
      </c>
      <c r="I434" s="20">
        <v>12</v>
      </c>
      <c r="J434" s="23">
        <v>45457</v>
      </c>
      <c r="K434" s="20">
        <v>6</v>
      </c>
      <c r="L434" s="20">
        <v>2024</v>
      </c>
    </row>
    <row r="435" spans="1:12" x14ac:dyDescent="0.3">
      <c r="A435" s="16" t="s">
        <v>519</v>
      </c>
      <c r="B435" s="16" t="s">
        <v>129</v>
      </c>
      <c r="C435" s="16" t="s">
        <v>15</v>
      </c>
      <c r="D435" s="16" t="s">
        <v>53</v>
      </c>
      <c r="E435" s="16" t="s">
        <v>31</v>
      </c>
      <c r="F435" s="17">
        <v>3839.38</v>
      </c>
      <c r="G435" s="17">
        <v>373.56</v>
      </c>
      <c r="H435" s="18">
        <v>0.05</v>
      </c>
      <c r="I435" s="16">
        <v>5</v>
      </c>
      <c r="J435" s="19">
        <v>45602</v>
      </c>
      <c r="K435" s="16">
        <v>11</v>
      </c>
      <c r="L435" s="16">
        <v>2024</v>
      </c>
    </row>
    <row r="436" spans="1:12" x14ac:dyDescent="0.3">
      <c r="A436" s="20" t="s">
        <v>520</v>
      </c>
      <c r="B436" s="20" t="s">
        <v>112</v>
      </c>
      <c r="C436" s="20" t="s">
        <v>41</v>
      </c>
      <c r="D436" s="20" t="s">
        <v>30</v>
      </c>
      <c r="E436" s="20" t="s">
        <v>31</v>
      </c>
      <c r="F436" s="21">
        <v>2301.0300000000002</v>
      </c>
      <c r="G436" s="21">
        <v>288.33999999999997</v>
      </c>
      <c r="H436" s="22">
        <v>0.25</v>
      </c>
      <c r="I436" s="20">
        <v>3</v>
      </c>
      <c r="J436" s="23">
        <v>45083</v>
      </c>
      <c r="K436" s="20">
        <v>6</v>
      </c>
      <c r="L436" s="20">
        <v>2023</v>
      </c>
    </row>
    <row r="437" spans="1:12" x14ac:dyDescent="0.3">
      <c r="A437" s="16" t="s">
        <v>521</v>
      </c>
      <c r="B437" s="16" t="s">
        <v>40</v>
      </c>
      <c r="C437" s="16" t="s">
        <v>20</v>
      </c>
      <c r="D437" s="16" t="s">
        <v>53</v>
      </c>
      <c r="E437" s="16" t="s">
        <v>31</v>
      </c>
      <c r="F437" s="17">
        <v>4819.09</v>
      </c>
      <c r="G437" s="17">
        <v>1265.44</v>
      </c>
      <c r="H437" s="18">
        <v>0.15</v>
      </c>
      <c r="I437" s="16">
        <v>16</v>
      </c>
      <c r="J437" s="19">
        <v>45256</v>
      </c>
      <c r="K437" s="16">
        <v>11</v>
      </c>
      <c r="L437" s="16">
        <v>2023</v>
      </c>
    </row>
    <row r="438" spans="1:12" x14ac:dyDescent="0.3">
      <c r="A438" s="20" t="s">
        <v>522</v>
      </c>
      <c r="B438" s="20" t="s">
        <v>50</v>
      </c>
      <c r="C438" s="20" t="s">
        <v>15</v>
      </c>
      <c r="D438" s="20" t="s">
        <v>21</v>
      </c>
      <c r="E438" s="20" t="s">
        <v>22</v>
      </c>
      <c r="F438" s="21">
        <v>3541.62</v>
      </c>
      <c r="G438" s="21">
        <v>1162.0899999999999</v>
      </c>
      <c r="H438" s="22">
        <v>0.05</v>
      </c>
      <c r="I438" s="20">
        <v>6</v>
      </c>
      <c r="J438" s="23">
        <v>44761</v>
      </c>
      <c r="K438" s="20">
        <v>7</v>
      </c>
      <c r="L438" s="20">
        <v>2022</v>
      </c>
    </row>
    <row r="439" spans="1:12" x14ac:dyDescent="0.3">
      <c r="A439" s="16" t="s">
        <v>523</v>
      </c>
      <c r="B439" s="16" t="s">
        <v>14</v>
      </c>
      <c r="C439" s="16" t="s">
        <v>25</v>
      </c>
      <c r="D439" s="16" t="s">
        <v>38</v>
      </c>
      <c r="E439" s="16" t="s">
        <v>22</v>
      </c>
      <c r="F439" s="17">
        <v>2303.1799999999998</v>
      </c>
      <c r="G439" s="17">
        <v>336.73</v>
      </c>
      <c r="H439" s="18">
        <v>0.25</v>
      </c>
      <c r="I439" s="16">
        <v>12</v>
      </c>
      <c r="J439" s="19">
        <v>45319</v>
      </c>
      <c r="K439" s="16">
        <v>1</v>
      </c>
      <c r="L439" s="16">
        <v>2024</v>
      </c>
    </row>
    <row r="440" spans="1:12" x14ac:dyDescent="0.3">
      <c r="A440" s="20" t="s">
        <v>524</v>
      </c>
      <c r="B440" s="20" t="s">
        <v>177</v>
      </c>
      <c r="C440" s="20" t="s">
        <v>20</v>
      </c>
      <c r="D440" s="20" t="s">
        <v>21</v>
      </c>
      <c r="E440" s="20" t="s">
        <v>22</v>
      </c>
      <c r="F440" s="21">
        <v>2542.9899999999998</v>
      </c>
      <c r="G440" s="21">
        <v>427.57</v>
      </c>
      <c r="H440" s="22">
        <v>0.2</v>
      </c>
      <c r="I440" s="20">
        <v>3</v>
      </c>
      <c r="J440" s="23">
        <v>45241</v>
      </c>
      <c r="K440" s="20">
        <v>11</v>
      </c>
      <c r="L440" s="20">
        <v>2023</v>
      </c>
    </row>
    <row r="441" spans="1:12" x14ac:dyDescent="0.3">
      <c r="A441" s="16" t="s">
        <v>525</v>
      </c>
      <c r="B441" s="16" t="s">
        <v>46</v>
      </c>
      <c r="C441" s="16" t="s">
        <v>25</v>
      </c>
      <c r="D441" s="16" t="s">
        <v>48</v>
      </c>
      <c r="E441" s="16" t="s">
        <v>31</v>
      </c>
      <c r="F441" s="17">
        <v>3769.39</v>
      </c>
      <c r="G441" s="17">
        <v>441.01</v>
      </c>
      <c r="H441" s="18">
        <v>0.25</v>
      </c>
      <c r="I441" s="16">
        <v>11</v>
      </c>
      <c r="J441" s="19">
        <v>45558</v>
      </c>
      <c r="K441" s="16">
        <v>9</v>
      </c>
      <c r="L441" s="16">
        <v>2024</v>
      </c>
    </row>
    <row r="442" spans="1:12" x14ac:dyDescent="0.3">
      <c r="A442" s="20" t="s">
        <v>526</v>
      </c>
      <c r="B442" s="20" t="s">
        <v>265</v>
      </c>
      <c r="C442" s="20" t="s">
        <v>15</v>
      </c>
      <c r="D442" s="20" t="s">
        <v>34</v>
      </c>
      <c r="E442" s="20" t="s">
        <v>35</v>
      </c>
      <c r="F442" s="21">
        <v>3376.22</v>
      </c>
      <c r="G442" s="21">
        <v>669.96</v>
      </c>
      <c r="H442" s="22">
        <v>0.1</v>
      </c>
      <c r="I442" s="20">
        <v>13</v>
      </c>
      <c r="J442" s="23">
        <v>44824</v>
      </c>
      <c r="K442" s="20">
        <v>9</v>
      </c>
      <c r="L442" s="20">
        <v>2022</v>
      </c>
    </row>
    <row r="443" spans="1:12" x14ac:dyDescent="0.3">
      <c r="A443" s="16" t="s">
        <v>527</v>
      </c>
      <c r="B443" s="16" t="s">
        <v>96</v>
      </c>
      <c r="C443" s="16" t="s">
        <v>15</v>
      </c>
      <c r="D443" s="16" t="s">
        <v>48</v>
      </c>
      <c r="E443" s="16" t="s">
        <v>31</v>
      </c>
      <c r="F443" s="17">
        <v>4684.9799999999996</v>
      </c>
      <c r="G443" s="17">
        <v>1097.03</v>
      </c>
      <c r="H443" s="18">
        <v>0.25</v>
      </c>
      <c r="I443" s="16">
        <v>16</v>
      </c>
      <c r="J443" s="19">
        <v>44617</v>
      </c>
      <c r="K443" s="16">
        <v>2</v>
      </c>
      <c r="L443" s="16">
        <v>2022</v>
      </c>
    </row>
    <row r="444" spans="1:12" x14ac:dyDescent="0.3">
      <c r="A444" s="20" t="s">
        <v>528</v>
      </c>
      <c r="B444" s="20" t="s">
        <v>14</v>
      </c>
      <c r="C444" s="20" t="s">
        <v>41</v>
      </c>
      <c r="D444" s="20" t="s">
        <v>38</v>
      </c>
      <c r="E444" s="20" t="s">
        <v>22</v>
      </c>
      <c r="F444" s="21">
        <v>1788.3</v>
      </c>
      <c r="G444" s="21">
        <v>171.14</v>
      </c>
      <c r="H444" s="22">
        <v>0.15</v>
      </c>
      <c r="I444" s="20">
        <v>8</v>
      </c>
      <c r="J444" s="23">
        <v>45609</v>
      </c>
      <c r="K444" s="20">
        <v>11</v>
      </c>
      <c r="L444" s="20">
        <v>2024</v>
      </c>
    </row>
    <row r="445" spans="1:12" x14ac:dyDescent="0.3">
      <c r="A445" s="16" t="s">
        <v>529</v>
      </c>
      <c r="B445" s="16" t="s">
        <v>33</v>
      </c>
      <c r="C445" s="16" t="s">
        <v>47</v>
      </c>
      <c r="D445" s="16" t="s">
        <v>57</v>
      </c>
      <c r="E445" s="16" t="s">
        <v>17</v>
      </c>
      <c r="F445" s="17">
        <v>2403.65</v>
      </c>
      <c r="G445" s="17">
        <v>382.22</v>
      </c>
      <c r="H445" s="18">
        <v>0.25</v>
      </c>
      <c r="I445" s="16">
        <v>16</v>
      </c>
      <c r="J445" s="19">
        <v>45081</v>
      </c>
      <c r="K445" s="16">
        <v>6</v>
      </c>
      <c r="L445" s="16">
        <v>2023</v>
      </c>
    </row>
    <row r="446" spans="1:12" x14ac:dyDescent="0.3">
      <c r="A446" s="20" t="s">
        <v>530</v>
      </c>
      <c r="B446" s="20" t="s">
        <v>123</v>
      </c>
      <c r="C446" s="20" t="s">
        <v>15</v>
      </c>
      <c r="D446" s="20" t="s">
        <v>38</v>
      </c>
      <c r="E446" s="20" t="s">
        <v>22</v>
      </c>
      <c r="F446" s="21">
        <v>2136.5100000000002</v>
      </c>
      <c r="G446" s="21">
        <v>485.67</v>
      </c>
      <c r="H446" s="22">
        <v>0.05</v>
      </c>
      <c r="I446" s="20">
        <v>1</v>
      </c>
      <c r="J446" s="23">
        <v>44854</v>
      </c>
      <c r="K446" s="20">
        <v>10</v>
      </c>
      <c r="L446" s="20">
        <v>2022</v>
      </c>
    </row>
    <row r="447" spans="1:12" x14ac:dyDescent="0.3">
      <c r="A447" s="16" t="s">
        <v>531</v>
      </c>
      <c r="B447" s="16" t="s">
        <v>24</v>
      </c>
      <c r="C447" s="16" t="s">
        <v>25</v>
      </c>
      <c r="D447" s="16" t="s">
        <v>26</v>
      </c>
      <c r="E447" s="16" t="s">
        <v>27</v>
      </c>
      <c r="F447" s="17">
        <v>1192.8900000000001</v>
      </c>
      <c r="G447" s="17">
        <v>322.17</v>
      </c>
      <c r="H447" s="18">
        <v>0.2</v>
      </c>
      <c r="I447" s="16">
        <v>12</v>
      </c>
      <c r="J447" s="19">
        <v>44679</v>
      </c>
      <c r="K447" s="16">
        <v>4</v>
      </c>
      <c r="L447" s="16">
        <v>2022</v>
      </c>
    </row>
    <row r="448" spans="1:12" x14ac:dyDescent="0.3">
      <c r="A448" s="20" t="s">
        <v>532</v>
      </c>
      <c r="B448" s="20" t="s">
        <v>24</v>
      </c>
      <c r="C448" s="20" t="s">
        <v>41</v>
      </c>
      <c r="D448" s="20" t="s">
        <v>38</v>
      </c>
      <c r="E448" s="20" t="s">
        <v>22</v>
      </c>
      <c r="F448" s="21">
        <v>3883.6</v>
      </c>
      <c r="G448" s="21">
        <v>635.79</v>
      </c>
      <c r="H448" s="22">
        <v>0.25</v>
      </c>
      <c r="I448" s="20">
        <v>12</v>
      </c>
      <c r="J448" s="23">
        <v>45508</v>
      </c>
      <c r="K448" s="20">
        <v>8</v>
      </c>
      <c r="L448" s="20">
        <v>2024</v>
      </c>
    </row>
    <row r="449" spans="1:12" x14ac:dyDescent="0.3">
      <c r="A449" s="16" t="s">
        <v>533</v>
      </c>
      <c r="B449" s="16" t="s">
        <v>19</v>
      </c>
      <c r="C449" s="16" t="s">
        <v>47</v>
      </c>
      <c r="D449" s="16" t="s">
        <v>53</v>
      </c>
      <c r="E449" s="16" t="s">
        <v>31</v>
      </c>
      <c r="F449" s="17">
        <v>1838.51</v>
      </c>
      <c r="G449" s="17">
        <v>370.25</v>
      </c>
      <c r="H449" s="18">
        <v>0.15</v>
      </c>
      <c r="I449" s="16">
        <v>12</v>
      </c>
      <c r="J449" s="19">
        <v>45324</v>
      </c>
      <c r="K449" s="16">
        <v>2</v>
      </c>
      <c r="L449" s="16">
        <v>2024</v>
      </c>
    </row>
    <row r="450" spans="1:12" x14ac:dyDescent="0.3">
      <c r="A450" s="20" t="s">
        <v>534</v>
      </c>
      <c r="B450" s="20" t="s">
        <v>50</v>
      </c>
      <c r="C450" s="20" t="s">
        <v>20</v>
      </c>
      <c r="D450" s="20" t="s">
        <v>21</v>
      </c>
      <c r="E450" s="20" t="s">
        <v>22</v>
      </c>
      <c r="F450" s="21">
        <v>4144.83</v>
      </c>
      <c r="G450" s="21">
        <v>420.25</v>
      </c>
      <c r="H450" s="22">
        <v>0.2</v>
      </c>
      <c r="I450" s="20">
        <v>20</v>
      </c>
      <c r="J450" s="23">
        <v>44655</v>
      </c>
      <c r="K450" s="20">
        <v>4</v>
      </c>
      <c r="L450" s="20">
        <v>2022</v>
      </c>
    </row>
    <row r="451" spans="1:12" x14ac:dyDescent="0.3">
      <c r="A451" s="16" t="s">
        <v>535</v>
      </c>
      <c r="B451" s="16" t="s">
        <v>117</v>
      </c>
      <c r="C451" s="16" t="s">
        <v>47</v>
      </c>
      <c r="D451" s="16" t="s">
        <v>57</v>
      </c>
      <c r="E451" s="16" t="s">
        <v>17</v>
      </c>
      <c r="F451" s="17">
        <v>4157.8599999999997</v>
      </c>
      <c r="G451" s="17">
        <v>1044.78</v>
      </c>
      <c r="H451" s="18">
        <v>0.1</v>
      </c>
      <c r="I451" s="16">
        <v>4</v>
      </c>
      <c r="J451" s="19">
        <v>44947</v>
      </c>
      <c r="K451" s="16">
        <v>1</v>
      </c>
      <c r="L451" s="16">
        <v>2023</v>
      </c>
    </row>
    <row r="452" spans="1:12" x14ac:dyDescent="0.3">
      <c r="A452" s="20" t="s">
        <v>536</v>
      </c>
      <c r="B452" s="20" t="s">
        <v>46</v>
      </c>
      <c r="C452" s="20" t="s">
        <v>15</v>
      </c>
      <c r="D452" s="20" t="s">
        <v>34</v>
      </c>
      <c r="E452" s="20" t="s">
        <v>35</v>
      </c>
      <c r="F452" s="21">
        <v>4480.42</v>
      </c>
      <c r="G452" s="21">
        <v>948.47</v>
      </c>
      <c r="H452" s="22">
        <v>0.2</v>
      </c>
      <c r="I452" s="20">
        <v>17</v>
      </c>
      <c r="J452" s="23">
        <v>44774</v>
      </c>
      <c r="K452" s="20">
        <v>8</v>
      </c>
      <c r="L452" s="20">
        <v>2022</v>
      </c>
    </row>
    <row r="453" spans="1:12" x14ac:dyDescent="0.3">
      <c r="A453" s="16" t="s">
        <v>537</v>
      </c>
      <c r="B453" s="16" t="s">
        <v>24</v>
      </c>
      <c r="C453" s="16" t="s">
        <v>15</v>
      </c>
      <c r="D453" s="16" t="s">
        <v>16</v>
      </c>
      <c r="E453" s="16" t="s">
        <v>17</v>
      </c>
      <c r="F453" s="17">
        <v>4689.4799999999996</v>
      </c>
      <c r="G453" s="17">
        <v>776.34</v>
      </c>
      <c r="H453" s="18">
        <v>0.25</v>
      </c>
      <c r="I453" s="16">
        <v>17</v>
      </c>
      <c r="J453" s="19">
        <v>44914</v>
      </c>
      <c r="K453" s="16">
        <v>12</v>
      </c>
      <c r="L453" s="16">
        <v>2022</v>
      </c>
    </row>
    <row r="454" spans="1:12" x14ac:dyDescent="0.3">
      <c r="A454" s="20" t="s">
        <v>538</v>
      </c>
      <c r="B454" s="20" t="s">
        <v>123</v>
      </c>
      <c r="C454" s="20" t="s">
        <v>47</v>
      </c>
      <c r="D454" s="20" t="s">
        <v>21</v>
      </c>
      <c r="E454" s="20" t="s">
        <v>22</v>
      </c>
      <c r="F454" s="21">
        <v>2059.5500000000002</v>
      </c>
      <c r="G454" s="21">
        <v>388.54</v>
      </c>
      <c r="H454" s="22">
        <v>0.25</v>
      </c>
      <c r="I454" s="20">
        <v>11</v>
      </c>
      <c r="J454" s="23">
        <v>45487</v>
      </c>
      <c r="K454" s="20">
        <v>7</v>
      </c>
      <c r="L454" s="20">
        <v>2024</v>
      </c>
    </row>
    <row r="455" spans="1:12" x14ac:dyDescent="0.3">
      <c r="A455" s="16" t="s">
        <v>539</v>
      </c>
      <c r="B455" s="16" t="s">
        <v>56</v>
      </c>
      <c r="C455" s="16" t="s">
        <v>47</v>
      </c>
      <c r="D455" s="16" t="s">
        <v>34</v>
      </c>
      <c r="E455" s="16" t="s">
        <v>35</v>
      </c>
      <c r="F455" s="17">
        <v>2109.7800000000002</v>
      </c>
      <c r="G455" s="17">
        <v>614.42999999999995</v>
      </c>
      <c r="H455" s="18">
        <v>0.15</v>
      </c>
      <c r="I455" s="16">
        <v>15</v>
      </c>
      <c r="J455" s="19">
        <v>44634</v>
      </c>
      <c r="K455" s="16">
        <v>3</v>
      </c>
      <c r="L455" s="16">
        <v>2022</v>
      </c>
    </row>
    <row r="456" spans="1:12" x14ac:dyDescent="0.3">
      <c r="A456" s="20" t="s">
        <v>540</v>
      </c>
      <c r="B456" s="20" t="s">
        <v>83</v>
      </c>
      <c r="C456" s="20" t="s">
        <v>25</v>
      </c>
      <c r="D456" s="20" t="s">
        <v>34</v>
      </c>
      <c r="E456" s="20" t="s">
        <v>35</v>
      </c>
      <c r="F456" s="21">
        <v>4246.76</v>
      </c>
      <c r="G456" s="21">
        <v>1003.86</v>
      </c>
      <c r="H456" s="22">
        <v>0.25</v>
      </c>
      <c r="I456" s="20">
        <v>18</v>
      </c>
      <c r="J456" s="23">
        <v>45389</v>
      </c>
      <c r="K456" s="20">
        <v>4</v>
      </c>
      <c r="L456" s="20">
        <v>2024</v>
      </c>
    </row>
    <row r="457" spans="1:12" x14ac:dyDescent="0.3">
      <c r="A457" s="16" t="s">
        <v>541</v>
      </c>
      <c r="B457" s="16" t="s">
        <v>101</v>
      </c>
      <c r="C457" s="16" t="s">
        <v>25</v>
      </c>
      <c r="D457" s="16" t="s">
        <v>42</v>
      </c>
      <c r="E457" s="16" t="s">
        <v>22</v>
      </c>
      <c r="F457" s="17">
        <v>1594.78</v>
      </c>
      <c r="G457" s="17">
        <v>447.74</v>
      </c>
      <c r="H457" s="18">
        <v>0.15</v>
      </c>
      <c r="I457" s="16">
        <v>5</v>
      </c>
      <c r="J457" s="19">
        <v>45602</v>
      </c>
      <c r="K457" s="16">
        <v>11</v>
      </c>
      <c r="L457" s="16">
        <v>2024</v>
      </c>
    </row>
    <row r="458" spans="1:12" x14ac:dyDescent="0.3">
      <c r="A458" s="20" t="s">
        <v>542</v>
      </c>
      <c r="B458" s="20" t="s">
        <v>125</v>
      </c>
      <c r="C458" s="20" t="s">
        <v>25</v>
      </c>
      <c r="D458" s="20" t="s">
        <v>16</v>
      </c>
      <c r="E458" s="20" t="s">
        <v>17</v>
      </c>
      <c r="F458" s="21">
        <v>3257.01</v>
      </c>
      <c r="G458" s="21">
        <v>897.91</v>
      </c>
      <c r="H458" s="22">
        <v>0.05</v>
      </c>
      <c r="I458" s="20">
        <v>18</v>
      </c>
      <c r="J458" s="23">
        <v>45218</v>
      </c>
      <c r="K458" s="20">
        <v>10</v>
      </c>
      <c r="L458" s="20">
        <v>2023</v>
      </c>
    </row>
    <row r="459" spans="1:12" x14ac:dyDescent="0.3">
      <c r="A459" s="16" t="s">
        <v>543</v>
      </c>
      <c r="B459" s="16" t="s">
        <v>98</v>
      </c>
      <c r="C459" s="16" t="s">
        <v>25</v>
      </c>
      <c r="D459" s="16" t="s">
        <v>57</v>
      </c>
      <c r="E459" s="16" t="s">
        <v>17</v>
      </c>
      <c r="F459" s="17">
        <v>4411.8900000000003</v>
      </c>
      <c r="G459" s="17">
        <v>1066.18</v>
      </c>
      <c r="H459" s="18">
        <v>0.2</v>
      </c>
      <c r="I459" s="16">
        <v>17</v>
      </c>
      <c r="J459" s="19">
        <v>44574</v>
      </c>
      <c r="K459" s="16">
        <v>1</v>
      </c>
      <c r="L459" s="16">
        <v>2022</v>
      </c>
    </row>
    <row r="460" spans="1:12" x14ac:dyDescent="0.3">
      <c r="A460" s="20" t="s">
        <v>544</v>
      </c>
      <c r="B460" s="20" t="s">
        <v>52</v>
      </c>
      <c r="C460" s="20" t="s">
        <v>15</v>
      </c>
      <c r="D460" s="20" t="s">
        <v>21</v>
      </c>
      <c r="E460" s="20" t="s">
        <v>22</v>
      </c>
      <c r="F460" s="21">
        <v>471.7</v>
      </c>
      <c r="G460" s="21">
        <v>115.29</v>
      </c>
      <c r="H460" s="22">
        <v>0.15</v>
      </c>
      <c r="I460" s="20">
        <v>6</v>
      </c>
      <c r="J460" s="23">
        <v>45239</v>
      </c>
      <c r="K460" s="20">
        <v>11</v>
      </c>
      <c r="L460" s="20">
        <v>2023</v>
      </c>
    </row>
    <row r="461" spans="1:12" x14ac:dyDescent="0.3">
      <c r="A461" s="16" t="s">
        <v>545</v>
      </c>
      <c r="B461" s="16" t="s">
        <v>125</v>
      </c>
      <c r="C461" s="16" t="s">
        <v>15</v>
      </c>
      <c r="D461" s="16" t="s">
        <v>21</v>
      </c>
      <c r="E461" s="16" t="s">
        <v>22</v>
      </c>
      <c r="F461" s="17">
        <v>3964.92</v>
      </c>
      <c r="G461" s="17">
        <v>1029.1300000000001</v>
      </c>
      <c r="H461" s="18">
        <v>0.1</v>
      </c>
      <c r="I461" s="16">
        <v>2</v>
      </c>
      <c r="J461" s="19">
        <v>45142</v>
      </c>
      <c r="K461" s="16">
        <v>8</v>
      </c>
      <c r="L461" s="16">
        <v>2023</v>
      </c>
    </row>
    <row r="462" spans="1:12" x14ac:dyDescent="0.3">
      <c r="A462" s="20" t="s">
        <v>546</v>
      </c>
      <c r="B462" s="20" t="s">
        <v>145</v>
      </c>
      <c r="C462" s="20" t="s">
        <v>25</v>
      </c>
      <c r="D462" s="20" t="s">
        <v>34</v>
      </c>
      <c r="E462" s="20" t="s">
        <v>35</v>
      </c>
      <c r="F462" s="21">
        <v>1276.68</v>
      </c>
      <c r="G462" s="21">
        <v>188.84</v>
      </c>
      <c r="H462" s="22">
        <v>0.25</v>
      </c>
      <c r="I462" s="20">
        <v>17</v>
      </c>
      <c r="J462" s="23">
        <v>45435</v>
      </c>
      <c r="K462" s="20">
        <v>5</v>
      </c>
      <c r="L462" s="20">
        <v>2024</v>
      </c>
    </row>
    <row r="463" spans="1:12" x14ac:dyDescent="0.3">
      <c r="A463" s="16" t="s">
        <v>547</v>
      </c>
      <c r="B463" s="16" t="s">
        <v>110</v>
      </c>
      <c r="C463" s="16" t="s">
        <v>20</v>
      </c>
      <c r="D463" s="16" t="s">
        <v>48</v>
      </c>
      <c r="E463" s="16" t="s">
        <v>31</v>
      </c>
      <c r="F463" s="17">
        <v>2199.52</v>
      </c>
      <c r="G463" s="17">
        <v>638.39</v>
      </c>
      <c r="H463" s="18">
        <v>0.15</v>
      </c>
      <c r="I463" s="16">
        <v>2</v>
      </c>
      <c r="J463" s="19">
        <v>44904</v>
      </c>
      <c r="K463" s="16">
        <v>12</v>
      </c>
      <c r="L463" s="16">
        <v>2022</v>
      </c>
    </row>
    <row r="464" spans="1:12" x14ac:dyDescent="0.3">
      <c r="A464" s="20" t="s">
        <v>548</v>
      </c>
      <c r="B464" s="20" t="s">
        <v>145</v>
      </c>
      <c r="C464" s="20" t="s">
        <v>25</v>
      </c>
      <c r="D464" s="20" t="s">
        <v>42</v>
      </c>
      <c r="E464" s="20" t="s">
        <v>22</v>
      </c>
      <c r="F464" s="21">
        <v>3948.44</v>
      </c>
      <c r="G464" s="21">
        <v>971.3</v>
      </c>
      <c r="H464" s="22">
        <v>0.2</v>
      </c>
      <c r="I464" s="20">
        <v>12</v>
      </c>
      <c r="J464" s="23">
        <v>45559</v>
      </c>
      <c r="K464" s="20">
        <v>9</v>
      </c>
      <c r="L464" s="20">
        <v>2024</v>
      </c>
    </row>
    <row r="465" spans="1:12" x14ac:dyDescent="0.3">
      <c r="A465" s="16" t="s">
        <v>549</v>
      </c>
      <c r="B465" s="16" t="s">
        <v>46</v>
      </c>
      <c r="C465" s="16" t="s">
        <v>47</v>
      </c>
      <c r="D465" s="16" t="s">
        <v>34</v>
      </c>
      <c r="E465" s="16" t="s">
        <v>35</v>
      </c>
      <c r="F465" s="17">
        <v>3679.59</v>
      </c>
      <c r="G465" s="17">
        <v>574.72</v>
      </c>
      <c r="H465" s="18">
        <v>0.1</v>
      </c>
      <c r="I465" s="16">
        <v>6</v>
      </c>
      <c r="J465" s="19">
        <v>45328</v>
      </c>
      <c r="K465" s="16">
        <v>2</v>
      </c>
      <c r="L465" s="16">
        <v>2024</v>
      </c>
    </row>
    <row r="466" spans="1:12" x14ac:dyDescent="0.3">
      <c r="A466" s="20" t="s">
        <v>550</v>
      </c>
      <c r="B466" s="20" t="s">
        <v>222</v>
      </c>
      <c r="C466" s="20" t="s">
        <v>25</v>
      </c>
      <c r="D466" s="20" t="s">
        <v>21</v>
      </c>
      <c r="E466" s="20" t="s">
        <v>22</v>
      </c>
      <c r="F466" s="21">
        <v>2010.55</v>
      </c>
      <c r="G466" s="21">
        <v>273.08</v>
      </c>
      <c r="H466" s="22">
        <v>0.2</v>
      </c>
      <c r="I466" s="20">
        <v>9</v>
      </c>
      <c r="J466" s="23">
        <v>44639</v>
      </c>
      <c r="K466" s="20">
        <v>3</v>
      </c>
      <c r="L466" s="20">
        <v>2022</v>
      </c>
    </row>
    <row r="467" spans="1:12" x14ac:dyDescent="0.3">
      <c r="A467" s="16" t="s">
        <v>551</v>
      </c>
      <c r="B467" s="16" t="s">
        <v>44</v>
      </c>
      <c r="C467" s="16" t="s">
        <v>15</v>
      </c>
      <c r="D467" s="16" t="s">
        <v>26</v>
      </c>
      <c r="E467" s="16" t="s">
        <v>27</v>
      </c>
      <c r="F467" s="17">
        <v>2438.39</v>
      </c>
      <c r="G467" s="17">
        <v>241.37</v>
      </c>
      <c r="H467" s="18">
        <v>0.1</v>
      </c>
      <c r="I467" s="16">
        <v>11</v>
      </c>
      <c r="J467" s="19">
        <v>45316</v>
      </c>
      <c r="K467" s="16">
        <v>1</v>
      </c>
      <c r="L467" s="16">
        <v>2024</v>
      </c>
    </row>
    <row r="468" spans="1:12" x14ac:dyDescent="0.3">
      <c r="A468" s="20" t="s">
        <v>552</v>
      </c>
      <c r="B468" s="20" t="s">
        <v>216</v>
      </c>
      <c r="C468" s="20" t="s">
        <v>41</v>
      </c>
      <c r="D468" s="20" t="s">
        <v>34</v>
      </c>
      <c r="E468" s="20" t="s">
        <v>35</v>
      </c>
      <c r="F468" s="21">
        <v>3991.56</v>
      </c>
      <c r="G468" s="21">
        <v>567.36</v>
      </c>
      <c r="H468" s="22">
        <v>0.25</v>
      </c>
      <c r="I468" s="20">
        <v>11</v>
      </c>
      <c r="J468" s="23">
        <v>45388</v>
      </c>
      <c r="K468" s="20">
        <v>4</v>
      </c>
      <c r="L468" s="20">
        <v>2024</v>
      </c>
    </row>
    <row r="469" spans="1:12" x14ac:dyDescent="0.3">
      <c r="A469" s="16" t="s">
        <v>553</v>
      </c>
      <c r="B469" s="16" t="s">
        <v>127</v>
      </c>
      <c r="C469" s="16" t="s">
        <v>15</v>
      </c>
      <c r="D469" s="16" t="s">
        <v>16</v>
      </c>
      <c r="E469" s="16" t="s">
        <v>17</v>
      </c>
      <c r="F469" s="17">
        <v>2624.67</v>
      </c>
      <c r="G469" s="17">
        <v>495.05</v>
      </c>
      <c r="H469" s="18">
        <v>0.2</v>
      </c>
      <c r="I469" s="16">
        <v>13</v>
      </c>
      <c r="J469" s="19">
        <v>44720</v>
      </c>
      <c r="K469" s="16">
        <v>6</v>
      </c>
      <c r="L469" s="16">
        <v>2022</v>
      </c>
    </row>
    <row r="470" spans="1:12" x14ac:dyDescent="0.3">
      <c r="A470" s="20" t="s">
        <v>554</v>
      </c>
      <c r="B470" s="20" t="s">
        <v>44</v>
      </c>
      <c r="C470" s="20" t="s">
        <v>41</v>
      </c>
      <c r="D470" s="20" t="s">
        <v>42</v>
      </c>
      <c r="E470" s="20" t="s">
        <v>22</v>
      </c>
      <c r="F470" s="21">
        <v>1931.83</v>
      </c>
      <c r="G470" s="21">
        <v>586.92999999999995</v>
      </c>
      <c r="H470" s="22">
        <v>0.1</v>
      </c>
      <c r="I470" s="20">
        <v>20</v>
      </c>
      <c r="J470" s="23">
        <v>45522</v>
      </c>
      <c r="K470" s="20">
        <v>8</v>
      </c>
      <c r="L470" s="20">
        <v>2024</v>
      </c>
    </row>
    <row r="471" spans="1:12" x14ac:dyDescent="0.3">
      <c r="A471" s="16" t="s">
        <v>555</v>
      </c>
      <c r="B471" s="16" t="s">
        <v>52</v>
      </c>
      <c r="C471" s="16" t="s">
        <v>15</v>
      </c>
      <c r="D471" s="16" t="s">
        <v>48</v>
      </c>
      <c r="E471" s="16" t="s">
        <v>31</v>
      </c>
      <c r="F471" s="17">
        <v>1860.83</v>
      </c>
      <c r="G471" s="17">
        <v>546.17999999999995</v>
      </c>
      <c r="H471" s="18">
        <v>0.1</v>
      </c>
      <c r="I471" s="16">
        <v>20</v>
      </c>
      <c r="J471" s="19">
        <v>45384</v>
      </c>
      <c r="K471" s="16">
        <v>4</v>
      </c>
      <c r="L471" s="16">
        <v>2024</v>
      </c>
    </row>
    <row r="472" spans="1:12" x14ac:dyDescent="0.3">
      <c r="A472" s="20" t="s">
        <v>556</v>
      </c>
      <c r="B472" s="20" t="s">
        <v>177</v>
      </c>
      <c r="C472" s="20" t="s">
        <v>20</v>
      </c>
      <c r="D472" s="20" t="s">
        <v>30</v>
      </c>
      <c r="E472" s="20" t="s">
        <v>31</v>
      </c>
      <c r="F472" s="21">
        <v>4021.79</v>
      </c>
      <c r="G472" s="21">
        <v>750.65</v>
      </c>
      <c r="H472" s="22">
        <v>0.05</v>
      </c>
      <c r="I472" s="20">
        <v>18</v>
      </c>
      <c r="J472" s="23">
        <v>45413</v>
      </c>
      <c r="K472" s="20">
        <v>5</v>
      </c>
      <c r="L472" s="20">
        <v>2024</v>
      </c>
    </row>
    <row r="473" spans="1:12" x14ac:dyDescent="0.3">
      <c r="A473" s="16" t="s">
        <v>557</v>
      </c>
      <c r="B473" s="16" t="s">
        <v>98</v>
      </c>
      <c r="C473" s="16" t="s">
        <v>41</v>
      </c>
      <c r="D473" s="16" t="s">
        <v>16</v>
      </c>
      <c r="E473" s="16" t="s">
        <v>17</v>
      </c>
      <c r="F473" s="17">
        <v>4053.52</v>
      </c>
      <c r="G473" s="17">
        <v>718.94</v>
      </c>
      <c r="H473" s="18">
        <v>0.2</v>
      </c>
      <c r="I473" s="16">
        <v>10</v>
      </c>
      <c r="J473" s="19">
        <v>45393</v>
      </c>
      <c r="K473" s="16">
        <v>4</v>
      </c>
      <c r="L473" s="16">
        <v>2024</v>
      </c>
    </row>
    <row r="474" spans="1:12" x14ac:dyDescent="0.3">
      <c r="A474" s="20" t="s">
        <v>558</v>
      </c>
      <c r="B474" s="20" t="s">
        <v>123</v>
      </c>
      <c r="C474" s="20" t="s">
        <v>15</v>
      </c>
      <c r="D474" s="20" t="s">
        <v>16</v>
      </c>
      <c r="E474" s="20" t="s">
        <v>17</v>
      </c>
      <c r="F474" s="21">
        <v>1003.5</v>
      </c>
      <c r="G474" s="21">
        <v>175.59</v>
      </c>
      <c r="H474" s="22">
        <v>0.25</v>
      </c>
      <c r="I474" s="20">
        <v>3</v>
      </c>
      <c r="J474" s="23">
        <v>44886</v>
      </c>
      <c r="K474" s="20">
        <v>11</v>
      </c>
      <c r="L474" s="20">
        <v>2022</v>
      </c>
    </row>
    <row r="475" spans="1:12" x14ac:dyDescent="0.3">
      <c r="A475" s="16" t="s">
        <v>559</v>
      </c>
      <c r="B475" s="16" t="s">
        <v>114</v>
      </c>
      <c r="C475" s="16" t="s">
        <v>20</v>
      </c>
      <c r="D475" s="16" t="s">
        <v>42</v>
      </c>
      <c r="E475" s="16" t="s">
        <v>22</v>
      </c>
      <c r="F475" s="17">
        <v>698.85</v>
      </c>
      <c r="G475" s="17">
        <v>161.01</v>
      </c>
      <c r="H475" s="18">
        <v>0.25</v>
      </c>
      <c r="I475" s="16">
        <v>14</v>
      </c>
      <c r="J475" s="19">
        <v>45346</v>
      </c>
      <c r="K475" s="16">
        <v>2</v>
      </c>
      <c r="L475" s="16">
        <v>2024</v>
      </c>
    </row>
    <row r="476" spans="1:12" x14ac:dyDescent="0.3">
      <c r="A476" s="20" t="s">
        <v>560</v>
      </c>
      <c r="B476" s="20" t="s">
        <v>117</v>
      </c>
      <c r="C476" s="20" t="s">
        <v>15</v>
      </c>
      <c r="D476" s="20" t="s">
        <v>21</v>
      </c>
      <c r="E476" s="20" t="s">
        <v>22</v>
      </c>
      <c r="F476" s="21">
        <v>3640.97</v>
      </c>
      <c r="G476" s="21">
        <v>421.57</v>
      </c>
      <c r="H476" s="22">
        <v>0.05</v>
      </c>
      <c r="I476" s="20">
        <v>2</v>
      </c>
      <c r="J476" s="23">
        <v>44699</v>
      </c>
      <c r="K476" s="20">
        <v>5</v>
      </c>
      <c r="L476" s="20">
        <v>2022</v>
      </c>
    </row>
    <row r="477" spans="1:12" x14ac:dyDescent="0.3">
      <c r="A477" s="16" t="s">
        <v>561</v>
      </c>
      <c r="B477" s="16" t="s">
        <v>298</v>
      </c>
      <c r="C477" s="16" t="s">
        <v>25</v>
      </c>
      <c r="D477" s="16" t="s">
        <v>53</v>
      </c>
      <c r="E477" s="16" t="s">
        <v>31</v>
      </c>
      <c r="F477" s="17">
        <v>1292.7</v>
      </c>
      <c r="G477" s="17">
        <v>221.86</v>
      </c>
      <c r="H477" s="18">
        <v>0.15</v>
      </c>
      <c r="I477" s="16">
        <v>15</v>
      </c>
      <c r="J477" s="19">
        <v>45487</v>
      </c>
      <c r="K477" s="16">
        <v>7</v>
      </c>
      <c r="L477" s="16">
        <v>2024</v>
      </c>
    </row>
    <row r="478" spans="1:12" x14ac:dyDescent="0.3">
      <c r="A478" s="20" t="s">
        <v>562</v>
      </c>
      <c r="B478" s="20" t="s">
        <v>110</v>
      </c>
      <c r="C478" s="20" t="s">
        <v>15</v>
      </c>
      <c r="D478" s="20" t="s">
        <v>30</v>
      </c>
      <c r="E478" s="20" t="s">
        <v>31</v>
      </c>
      <c r="F478" s="21">
        <v>3431.83</v>
      </c>
      <c r="G478" s="21">
        <v>261.18</v>
      </c>
      <c r="H478" s="22">
        <v>0.25</v>
      </c>
      <c r="I478" s="20">
        <v>20</v>
      </c>
      <c r="J478" s="23">
        <v>44914</v>
      </c>
      <c r="K478" s="20">
        <v>12</v>
      </c>
      <c r="L478" s="20">
        <v>2022</v>
      </c>
    </row>
    <row r="479" spans="1:12" x14ac:dyDescent="0.3">
      <c r="A479" s="16" t="s">
        <v>563</v>
      </c>
      <c r="B479" s="16" t="s">
        <v>85</v>
      </c>
      <c r="C479" s="16" t="s">
        <v>15</v>
      </c>
      <c r="D479" s="16" t="s">
        <v>48</v>
      </c>
      <c r="E479" s="16" t="s">
        <v>31</v>
      </c>
      <c r="F479" s="17">
        <v>4654.63</v>
      </c>
      <c r="G479" s="17">
        <v>762.6</v>
      </c>
      <c r="H479" s="18">
        <v>0.05</v>
      </c>
      <c r="I479" s="16">
        <v>10</v>
      </c>
      <c r="J479" s="19">
        <v>45332</v>
      </c>
      <c r="K479" s="16">
        <v>2</v>
      </c>
      <c r="L479" s="16">
        <v>2024</v>
      </c>
    </row>
    <row r="480" spans="1:12" x14ac:dyDescent="0.3">
      <c r="A480" s="20" t="s">
        <v>564</v>
      </c>
      <c r="B480" s="20" t="s">
        <v>40</v>
      </c>
      <c r="C480" s="20" t="s">
        <v>20</v>
      </c>
      <c r="D480" s="20" t="s">
        <v>38</v>
      </c>
      <c r="E480" s="20" t="s">
        <v>22</v>
      </c>
      <c r="F480" s="21">
        <v>4146.1899999999996</v>
      </c>
      <c r="G480" s="21">
        <v>860.63</v>
      </c>
      <c r="H480" s="22">
        <v>0.05</v>
      </c>
      <c r="I480" s="20">
        <v>18</v>
      </c>
      <c r="J480" s="23">
        <v>44644</v>
      </c>
      <c r="K480" s="20">
        <v>3</v>
      </c>
      <c r="L480" s="20">
        <v>2022</v>
      </c>
    </row>
    <row r="481" spans="1:12" x14ac:dyDescent="0.3">
      <c r="A481" s="16" t="s">
        <v>565</v>
      </c>
      <c r="B481" s="16" t="s">
        <v>98</v>
      </c>
      <c r="C481" s="16" t="s">
        <v>25</v>
      </c>
      <c r="D481" s="16" t="s">
        <v>57</v>
      </c>
      <c r="E481" s="16" t="s">
        <v>17</v>
      </c>
      <c r="F481" s="17">
        <v>4808.6400000000003</v>
      </c>
      <c r="G481" s="17">
        <v>755.26</v>
      </c>
      <c r="H481" s="18">
        <v>0.1</v>
      </c>
      <c r="I481" s="16">
        <v>12</v>
      </c>
      <c r="J481" s="19">
        <v>44832</v>
      </c>
      <c r="K481" s="16">
        <v>9</v>
      </c>
      <c r="L481" s="16">
        <v>2022</v>
      </c>
    </row>
    <row r="482" spans="1:12" x14ac:dyDescent="0.3">
      <c r="A482" s="20" t="s">
        <v>566</v>
      </c>
      <c r="B482" s="20" t="s">
        <v>222</v>
      </c>
      <c r="C482" s="20" t="s">
        <v>47</v>
      </c>
      <c r="D482" s="20" t="s">
        <v>16</v>
      </c>
      <c r="E482" s="20" t="s">
        <v>17</v>
      </c>
      <c r="F482" s="21">
        <v>400.51</v>
      </c>
      <c r="G482" s="21">
        <v>74.84</v>
      </c>
      <c r="H482" s="22">
        <v>0.25</v>
      </c>
      <c r="I482" s="20">
        <v>18</v>
      </c>
      <c r="J482" s="23">
        <v>45332</v>
      </c>
      <c r="K482" s="20">
        <v>2</v>
      </c>
      <c r="L482" s="20">
        <v>2024</v>
      </c>
    </row>
    <row r="483" spans="1:12" x14ac:dyDescent="0.3">
      <c r="A483" s="16" t="s">
        <v>567</v>
      </c>
      <c r="B483" s="16" t="s">
        <v>218</v>
      </c>
      <c r="C483" s="16" t="s">
        <v>41</v>
      </c>
      <c r="D483" s="16" t="s">
        <v>42</v>
      </c>
      <c r="E483" s="16" t="s">
        <v>22</v>
      </c>
      <c r="F483" s="17">
        <v>2180.7399999999998</v>
      </c>
      <c r="G483" s="17">
        <v>221.8</v>
      </c>
      <c r="H483" s="18">
        <v>0.25</v>
      </c>
      <c r="I483" s="16">
        <v>6</v>
      </c>
      <c r="J483" s="19">
        <v>44861</v>
      </c>
      <c r="K483" s="16">
        <v>10</v>
      </c>
      <c r="L483" s="16">
        <v>2022</v>
      </c>
    </row>
    <row r="484" spans="1:12" x14ac:dyDescent="0.3">
      <c r="A484" s="20" t="s">
        <v>568</v>
      </c>
      <c r="B484" s="20" t="s">
        <v>222</v>
      </c>
      <c r="C484" s="20" t="s">
        <v>47</v>
      </c>
      <c r="D484" s="20" t="s">
        <v>26</v>
      </c>
      <c r="E484" s="20" t="s">
        <v>27</v>
      </c>
      <c r="F484" s="21">
        <v>1070.52</v>
      </c>
      <c r="G484" s="21">
        <v>251.35</v>
      </c>
      <c r="H484" s="22">
        <v>0.25</v>
      </c>
      <c r="I484" s="20">
        <v>18</v>
      </c>
      <c r="J484" s="23">
        <v>45248</v>
      </c>
      <c r="K484" s="20">
        <v>11</v>
      </c>
      <c r="L484" s="20">
        <v>2023</v>
      </c>
    </row>
    <row r="485" spans="1:12" x14ac:dyDescent="0.3">
      <c r="A485" s="16" t="s">
        <v>569</v>
      </c>
      <c r="B485" s="16" t="s">
        <v>52</v>
      </c>
      <c r="C485" s="16" t="s">
        <v>41</v>
      </c>
      <c r="D485" s="16" t="s">
        <v>53</v>
      </c>
      <c r="E485" s="16" t="s">
        <v>31</v>
      </c>
      <c r="F485" s="17">
        <v>523.34</v>
      </c>
      <c r="G485" s="17">
        <v>74.25</v>
      </c>
      <c r="H485" s="18">
        <v>0.05</v>
      </c>
      <c r="I485" s="16">
        <v>19</v>
      </c>
      <c r="J485" s="19">
        <v>45089</v>
      </c>
      <c r="K485" s="16">
        <v>6</v>
      </c>
      <c r="L485" s="16">
        <v>2023</v>
      </c>
    </row>
    <row r="486" spans="1:12" x14ac:dyDescent="0.3">
      <c r="A486" s="20" t="s">
        <v>570</v>
      </c>
      <c r="B486" s="20" t="s">
        <v>123</v>
      </c>
      <c r="C486" s="20" t="s">
        <v>47</v>
      </c>
      <c r="D486" s="20" t="s">
        <v>21</v>
      </c>
      <c r="E486" s="20" t="s">
        <v>22</v>
      </c>
      <c r="F486" s="21">
        <v>1568.66</v>
      </c>
      <c r="G486" s="21">
        <v>484.37</v>
      </c>
      <c r="H486" s="22">
        <v>0.05</v>
      </c>
      <c r="I486" s="20">
        <v>11</v>
      </c>
      <c r="J486" s="23">
        <v>45149</v>
      </c>
      <c r="K486" s="20">
        <v>8</v>
      </c>
      <c r="L486" s="20">
        <v>2023</v>
      </c>
    </row>
    <row r="487" spans="1:12" x14ac:dyDescent="0.3">
      <c r="A487" s="16" t="s">
        <v>571</v>
      </c>
      <c r="B487" s="16" t="s">
        <v>125</v>
      </c>
      <c r="C487" s="16" t="s">
        <v>41</v>
      </c>
      <c r="D487" s="16" t="s">
        <v>34</v>
      </c>
      <c r="E487" s="16" t="s">
        <v>35</v>
      </c>
      <c r="F487" s="17">
        <v>3004.02</v>
      </c>
      <c r="G487" s="17">
        <v>544.59</v>
      </c>
      <c r="H487" s="18">
        <v>0.25</v>
      </c>
      <c r="I487" s="16">
        <v>11</v>
      </c>
      <c r="J487" s="19">
        <v>44986</v>
      </c>
      <c r="K487" s="16">
        <v>3</v>
      </c>
      <c r="L487" s="16">
        <v>2023</v>
      </c>
    </row>
    <row r="488" spans="1:12" x14ac:dyDescent="0.3">
      <c r="A488" s="20" t="s">
        <v>572</v>
      </c>
      <c r="B488" s="20" t="s">
        <v>127</v>
      </c>
      <c r="C488" s="20" t="s">
        <v>47</v>
      </c>
      <c r="D488" s="20" t="s">
        <v>30</v>
      </c>
      <c r="E488" s="20" t="s">
        <v>31</v>
      </c>
      <c r="F488" s="21">
        <v>1263.32</v>
      </c>
      <c r="G488" s="21">
        <v>170.97</v>
      </c>
      <c r="H488" s="22">
        <v>0.2</v>
      </c>
      <c r="I488" s="20">
        <v>12</v>
      </c>
      <c r="J488" s="23">
        <v>44889</v>
      </c>
      <c r="K488" s="20">
        <v>11</v>
      </c>
      <c r="L488" s="20">
        <v>2022</v>
      </c>
    </row>
    <row r="489" spans="1:12" x14ac:dyDescent="0.3">
      <c r="A489" s="16" t="s">
        <v>573</v>
      </c>
      <c r="B489" s="16" t="s">
        <v>117</v>
      </c>
      <c r="C489" s="16" t="s">
        <v>20</v>
      </c>
      <c r="D489" s="16" t="s">
        <v>30</v>
      </c>
      <c r="E489" s="16" t="s">
        <v>31</v>
      </c>
      <c r="F489" s="17">
        <v>2337.7199999999998</v>
      </c>
      <c r="G489" s="17">
        <v>440.62</v>
      </c>
      <c r="H489" s="18">
        <v>0.15</v>
      </c>
      <c r="I489" s="16">
        <v>4</v>
      </c>
      <c r="J489" s="19">
        <v>44885</v>
      </c>
      <c r="K489" s="16">
        <v>11</v>
      </c>
      <c r="L489" s="16">
        <v>2022</v>
      </c>
    </row>
    <row r="490" spans="1:12" x14ac:dyDescent="0.3">
      <c r="A490" s="20" t="s">
        <v>574</v>
      </c>
      <c r="B490" s="20" t="s">
        <v>129</v>
      </c>
      <c r="C490" s="20" t="s">
        <v>41</v>
      </c>
      <c r="D490" s="20" t="s">
        <v>53</v>
      </c>
      <c r="E490" s="20" t="s">
        <v>31</v>
      </c>
      <c r="F490" s="21">
        <v>4166.93</v>
      </c>
      <c r="G490" s="21">
        <v>465.99</v>
      </c>
      <c r="H490" s="22">
        <v>0.25</v>
      </c>
      <c r="I490" s="20">
        <v>3</v>
      </c>
      <c r="J490" s="23">
        <v>45323</v>
      </c>
      <c r="K490" s="20">
        <v>2</v>
      </c>
      <c r="L490" s="20">
        <v>2024</v>
      </c>
    </row>
    <row r="491" spans="1:12" x14ac:dyDescent="0.3">
      <c r="A491" s="16" t="s">
        <v>575</v>
      </c>
      <c r="B491" s="16" t="s">
        <v>298</v>
      </c>
      <c r="C491" s="16" t="s">
        <v>15</v>
      </c>
      <c r="D491" s="16" t="s">
        <v>16</v>
      </c>
      <c r="E491" s="16" t="s">
        <v>17</v>
      </c>
      <c r="F491" s="17">
        <v>2993.07</v>
      </c>
      <c r="G491" s="17">
        <v>699.9</v>
      </c>
      <c r="H491" s="18">
        <v>0.2</v>
      </c>
      <c r="I491" s="16">
        <v>7</v>
      </c>
      <c r="J491" s="19">
        <v>44813</v>
      </c>
      <c r="K491" s="16">
        <v>9</v>
      </c>
      <c r="L491" s="16">
        <v>2022</v>
      </c>
    </row>
    <row r="492" spans="1:12" x14ac:dyDescent="0.3">
      <c r="A492" s="20" t="s">
        <v>576</v>
      </c>
      <c r="B492" s="20" t="s">
        <v>309</v>
      </c>
      <c r="C492" s="20" t="s">
        <v>25</v>
      </c>
      <c r="D492" s="20" t="s">
        <v>16</v>
      </c>
      <c r="E492" s="20" t="s">
        <v>17</v>
      </c>
      <c r="F492" s="21">
        <v>3338.76</v>
      </c>
      <c r="G492" s="21">
        <v>575.29999999999995</v>
      </c>
      <c r="H492" s="22">
        <v>0.1</v>
      </c>
      <c r="I492" s="20">
        <v>8</v>
      </c>
      <c r="J492" s="23">
        <v>45654</v>
      </c>
      <c r="K492" s="20">
        <v>12</v>
      </c>
      <c r="L492" s="20">
        <v>2024</v>
      </c>
    </row>
    <row r="493" spans="1:12" x14ac:dyDescent="0.3">
      <c r="A493" s="16" t="s">
        <v>577</v>
      </c>
      <c r="B493" s="16" t="s">
        <v>117</v>
      </c>
      <c r="C493" s="16" t="s">
        <v>47</v>
      </c>
      <c r="D493" s="16" t="s">
        <v>26</v>
      </c>
      <c r="E493" s="16" t="s">
        <v>27</v>
      </c>
      <c r="F493" s="17">
        <v>2605.39</v>
      </c>
      <c r="G493" s="17">
        <v>493.03</v>
      </c>
      <c r="H493" s="18">
        <v>0.05</v>
      </c>
      <c r="I493" s="16">
        <v>17</v>
      </c>
      <c r="J493" s="19">
        <v>44873</v>
      </c>
      <c r="K493" s="16">
        <v>11</v>
      </c>
      <c r="L493" s="16">
        <v>2022</v>
      </c>
    </row>
    <row r="494" spans="1:12" x14ac:dyDescent="0.3">
      <c r="A494" s="20" t="s">
        <v>578</v>
      </c>
      <c r="B494" s="20" t="s">
        <v>227</v>
      </c>
      <c r="C494" s="20" t="s">
        <v>47</v>
      </c>
      <c r="D494" s="20" t="s">
        <v>34</v>
      </c>
      <c r="E494" s="20" t="s">
        <v>35</v>
      </c>
      <c r="F494" s="21">
        <v>2667.86</v>
      </c>
      <c r="G494" s="21">
        <v>298.39</v>
      </c>
      <c r="H494" s="22">
        <v>0.2</v>
      </c>
      <c r="I494" s="20">
        <v>19</v>
      </c>
      <c r="J494" s="23">
        <v>45624</v>
      </c>
      <c r="K494" s="20">
        <v>11</v>
      </c>
      <c r="L494" s="20">
        <v>2024</v>
      </c>
    </row>
    <row r="495" spans="1:12" x14ac:dyDescent="0.3">
      <c r="A495" s="16" t="s">
        <v>579</v>
      </c>
      <c r="B495" s="16" t="s">
        <v>85</v>
      </c>
      <c r="C495" s="16" t="s">
        <v>20</v>
      </c>
      <c r="D495" s="16" t="s">
        <v>21</v>
      </c>
      <c r="E495" s="16" t="s">
        <v>22</v>
      </c>
      <c r="F495" s="17">
        <v>394.02</v>
      </c>
      <c r="G495" s="17">
        <v>49.78</v>
      </c>
      <c r="H495" s="18">
        <v>0.2</v>
      </c>
      <c r="I495" s="16">
        <v>9</v>
      </c>
      <c r="J495" s="19">
        <v>45018</v>
      </c>
      <c r="K495" s="16">
        <v>4</v>
      </c>
      <c r="L495" s="16">
        <v>2023</v>
      </c>
    </row>
    <row r="496" spans="1:12" x14ac:dyDescent="0.3">
      <c r="A496" s="20" t="s">
        <v>580</v>
      </c>
      <c r="B496" s="20" t="s">
        <v>177</v>
      </c>
      <c r="C496" s="20" t="s">
        <v>25</v>
      </c>
      <c r="D496" s="20" t="s">
        <v>42</v>
      </c>
      <c r="E496" s="20" t="s">
        <v>22</v>
      </c>
      <c r="F496" s="21">
        <v>3999.01</v>
      </c>
      <c r="G496" s="21">
        <v>695.57</v>
      </c>
      <c r="H496" s="22">
        <v>0.2</v>
      </c>
      <c r="I496" s="20">
        <v>15</v>
      </c>
      <c r="J496" s="23">
        <v>44582</v>
      </c>
      <c r="K496" s="20">
        <v>1</v>
      </c>
      <c r="L496" s="20">
        <v>2022</v>
      </c>
    </row>
    <row r="497" spans="1:12" x14ac:dyDescent="0.3">
      <c r="A497" s="16" t="s">
        <v>581</v>
      </c>
      <c r="B497" s="16" t="s">
        <v>101</v>
      </c>
      <c r="C497" s="16" t="s">
        <v>15</v>
      </c>
      <c r="D497" s="16" t="s">
        <v>30</v>
      </c>
      <c r="E497" s="16" t="s">
        <v>31</v>
      </c>
      <c r="F497" s="17">
        <v>4848.5200000000004</v>
      </c>
      <c r="G497" s="17">
        <v>1272.3</v>
      </c>
      <c r="H497" s="18">
        <v>0.15</v>
      </c>
      <c r="I497" s="16">
        <v>9</v>
      </c>
      <c r="J497" s="19">
        <v>45554</v>
      </c>
      <c r="K497" s="16">
        <v>9</v>
      </c>
      <c r="L497" s="16">
        <v>2024</v>
      </c>
    </row>
    <row r="498" spans="1:12" x14ac:dyDescent="0.3">
      <c r="A498" s="20" t="s">
        <v>582</v>
      </c>
      <c r="B498" s="20" t="s">
        <v>96</v>
      </c>
      <c r="C498" s="20" t="s">
        <v>20</v>
      </c>
      <c r="D498" s="20" t="s">
        <v>21</v>
      </c>
      <c r="E498" s="20" t="s">
        <v>22</v>
      </c>
      <c r="F498" s="21">
        <v>2016.89</v>
      </c>
      <c r="G498" s="21">
        <v>398.34</v>
      </c>
      <c r="H498" s="22">
        <v>0.25</v>
      </c>
      <c r="I498" s="20">
        <v>3</v>
      </c>
      <c r="J498" s="23">
        <v>45425</v>
      </c>
      <c r="K498" s="20">
        <v>5</v>
      </c>
      <c r="L498" s="20">
        <v>2024</v>
      </c>
    </row>
    <row r="499" spans="1:12" x14ac:dyDescent="0.3">
      <c r="A499" s="16" t="s">
        <v>583</v>
      </c>
      <c r="B499" s="16" t="s">
        <v>40</v>
      </c>
      <c r="C499" s="16" t="s">
        <v>25</v>
      </c>
      <c r="D499" s="16" t="s">
        <v>42</v>
      </c>
      <c r="E499" s="16" t="s">
        <v>22</v>
      </c>
      <c r="F499" s="17">
        <v>1893.91</v>
      </c>
      <c r="G499" s="17">
        <v>356.92</v>
      </c>
      <c r="H499" s="18">
        <v>0.15</v>
      </c>
      <c r="I499" s="16">
        <v>16</v>
      </c>
      <c r="J499" s="19">
        <v>45308</v>
      </c>
      <c r="K499" s="16">
        <v>1</v>
      </c>
      <c r="L499" s="16">
        <v>2024</v>
      </c>
    </row>
    <row r="500" spans="1:12" x14ac:dyDescent="0.3">
      <c r="A500" s="20" t="s">
        <v>584</v>
      </c>
      <c r="B500" s="20" t="s">
        <v>37</v>
      </c>
      <c r="C500" s="20" t="s">
        <v>20</v>
      </c>
      <c r="D500" s="20" t="s">
        <v>21</v>
      </c>
      <c r="E500" s="20" t="s">
        <v>22</v>
      </c>
      <c r="F500" s="21">
        <v>1303.96</v>
      </c>
      <c r="G500" s="21">
        <v>255.12</v>
      </c>
      <c r="H500" s="22">
        <v>0.25</v>
      </c>
      <c r="I500" s="20">
        <v>7</v>
      </c>
      <c r="J500" s="23">
        <v>44626</v>
      </c>
      <c r="K500" s="20">
        <v>3</v>
      </c>
      <c r="L500" s="20">
        <v>2022</v>
      </c>
    </row>
    <row r="501" spans="1:12" x14ac:dyDescent="0.3">
      <c r="A501" s="16" t="s">
        <v>585</v>
      </c>
      <c r="B501" s="16" t="s">
        <v>101</v>
      </c>
      <c r="C501" s="16" t="s">
        <v>25</v>
      </c>
      <c r="D501" s="16" t="s">
        <v>30</v>
      </c>
      <c r="E501" s="16" t="s">
        <v>31</v>
      </c>
      <c r="F501" s="17">
        <v>4121.38</v>
      </c>
      <c r="G501" s="17">
        <v>755.4</v>
      </c>
      <c r="H501" s="18">
        <v>0.1</v>
      </c>
      <c r="I501" s="16">
        <v>11</v>
      </c>
      <c r="J501" s="19">
        <v>45338</v>
      </c>
      <c r="K501" s="16">
        <v>2</v>
      </c>
      <c r="L501" s="16">
        <v>2024</v>
      </c>
    </row>
    <row r="502" spans="1:12" x14ac:dyDescent="0.3">
      <c r="A502" s="20" t="s">
        <v>586</v>
      </c>
      <c r="B502" s="20" t="s">
        <v>218</v>
      </c>
      <c r="C502" s="20" t="s">
        <v>20</v>
      </c>
      <c r="D502" s="20" t="s">
        <v>38</v>
      </c>
      <c r="E502" s="20" t="s">
        <v>22</v>
      </c>
      <c r="F502" s="21">
        <v>3035.8</v>
      </c>
      <c r="G502" s="21">
        <v>256.49</v>
      </c>
      <c r="H502" s="22">
        <v>0.2</v>
      </c>
      <c r="I502" s="20">
        <v>2</v>
      </c>
      <c r="J502" s="23">
        <v>44853</v>
      </c>
      <c r="K502" s="20">
        <v>10</v>
      </c>
      <c r="L502" s="20">
        <v>2022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G34"/>
  <sheetViews>
    <sheetView zoomScaleNormal="100" workbookViewId="0">
      <selection activeCell="E21" sqref="E21"/>
    </sheetView>
  </sheetViews>
  <sheetFormatPr defaultColWidth="8.6640625" defaultRowHeight="14.4" x14ac:dyDescent="0.3"/>
  <cols>
    <col min="1" max="7" width="18" customWidth="1"/>
  </cols>
  <sheetData>
    <row r="1" spans="1:7" ht="30" customHeight="1" x14ac:dyDescent="0.3">
      <c r="A1" s="14" t="s">
        <v>587</v>
      </c>
      <c r="B1" s="14"/>
      <c r="C1" s="14"/>
      <c r="D1" s="14"/>
      <c r="E1" s="14"/>
    </row>
    <row r="3" spans="1:7" ht="15.6" x14ac:dyDescent="0.3">
      <c r="A3" s="13" t="s">
        <v>588</v>
      </c>
      <c r="B3" s="13"/>
      <c r="C3" s="13"/>
      <c r="E3" s="13" t="s">
        <v>589</v>
      </c>
      <c r="F3" s="13"/>
      <c r="G3" s="13"/>
    </row>
    <row r="4" spans="1:7" x14ac:dyDescent="0.3">
      <c r="A4" s="15" t="s">
        <v>2</v>
      </c>
      <c r="B4" s="15" t="s">
        <v>590</v>
      </c>
      <c r="C4" s="15" t="s">
        <v>591</v>
      </c>
      <c r="E4" s="25" t="s">
        <v>4</v>
      </c>
      <c r="F4" s="25" t="s">
        <v>592</v>
      </c>
      <c r="G4" s="25" t="s">
        <v>593</v>
      </c>
    </row>
    <row r="5" spans="1:7" x14ac:dyDescent="0.3">
      <c r="A5" s="26" t="s">
        <v>24</v>
      </c>
      <c r="B5" s="27">
        <v>59481.52</v>
      </c>
      <c r="C5" s="28">
        <f t="shared" ref="C5:C34" si="0">RANK(B5,$B$5:$B$34,0)</f>
        <v>1</v>
      </c>
      <c r="E5" s="28" t="s">
        <v>57</v>
      </c>
      <c r="F5" s="29">
        <v>548.23</v>
      </c>
      <c r="G5" s="28"/>
    </row>
    <row r="6" spans="1:7" x14ac:dyDescent="0.3">
      <c r="A6" s="26" t="s">
        <v>46</v>
      </c>
      <c r="B6" s="27">
        <v>53000.46</v>
      </c>
      <c r="C6" s="28">
        <f t="shared" si="0"/>
        <v>2</v>
      </c>
      <c r="E6" s="28" t="s">
        <v>16</v>
      </c>
      <c r="F6" s="29">
        <v>539.74</v>
      </c>
      <c r="G6" s="28"/>
    </row>
    <row r="7" spans="1:7" x14ac:dyDescent="0.3">
      <c r="A7" s="26" t="s">
        <v>98</v>
      </c>
      <c r="B7" s="27">
        <v>52227.11</v>
      </c>
      <c r="C7" s="28">
        <f t="shared" si="0"/>
        <v>3</v>
      </c>
      <c r="E7" s="28" t="s">
        <v>21</v>
      </c>
      <c r="F7" s="29">
        <v>531.09</v>
      </c>
      <c r="G7" s="28"/>
    </row>
    <row r="8" spans="1:7" x14ac:dyDescent="0.3">
      <c r="A8" s="26" t="s">
        <v>117</v>
      </c>
      <c r="B8" s="27">
        <v>48286.14</v>
      </c>
      <c r="C8" s="28">
        <f t="shared" si="0"/>
        <v>4</v>
      </c>
      <c r="E8" s="28" t="s">
        <v>42</v>
      </c>
      <c r="F8" s="29">
        <v>524.94000000000005</v>
      </c>
      <c r="G8" s="28"/>
    </row>
    <row r="9" spans="1:7" x14ac:dyDescent="0.3">
      <c r="A9" s="26" t="s">
        <v>52</v>
      </c>
      <c r="B9" s="27">
        <v>42300.959999999999</v>
      </c>
      <c r="C9" s="28">
        <f t="shared" si="0"/>
        <v>5</v>
      </c>
      <c r="E9" s="28" t="s">
        <v>48</v>
      </c>
      <c r="F9" s="29">
        <v>520.15</v>
      </c>
      <c r="G9" s="28"/>
    </row>
    <row r="10" spans="1:7" x14ac:dyDescent="0.3">
      <c r="A10" s="26" t="s">
        <v>63</v>
      </c>
      <c r="B10" s="27">
        <v>41682.15</v>
      </c>
      <c r="C10" s="28">
        <f t="shared" si="0"/>
        <v>6</v>
      </c>
      <c r="E10" s="28" t="s">
        <v>34</v>
      </c>
      <c r="F10" s="29">
        <v>469.55</v>
      </c>
      <c r="G10" s="28"/>
    </row>
    <row r="11" spans="1:7" x14ac:dyDescent="0.3">
      <c r="A11" s="26" t="s">
        <v>40</v>
      </c>
      <c r="B11" s="27">
        <v>41288.74</v>
      </c>
      <c r="C11" s="28">
        <f t="shared" si="0"/>
        <v>7</v>
      </c>
      <c r="E11" s="28" t="s">
        <v>30</v>
      </c>
      <c r="F11" s="29">
        <v>467.54</v>
      </c>
      <c r="G11" s="28"/>
    </row>
    <row r="12" spans="1:7" x14ac:dyDescent="0.3">
      <c r="A12" s="26" t="s">
        <v>14</v>
      </c>
      <c r="B12" s="27">
        <v>38642.879999999997</v>
      </c>
      <c r="C12" s="28">
        <f t="shared" si="0"/>
        <v>8</v>
      </c>
      <c r="E12" s="28" t="s">
        <v>53</v>
      </c>
      <c r="F12" s="29">
        <v>462.76</v>
      </c>
      <c r="G12" s="28"/>
    </row>
    <row r="13" spans="1:7" x14ac:dyDescent="0.3">
      <c r="A13" s="26" t="s">
        <v>44</v>
      </c>
      <c r="B13" s="27">
        <v>38334.22</v>
      </c>
      <c r="C13" s="28">
        <f t="shared" si="0"/>
        <v>9</v>
      </c>
      <c r="E13" s="28" t="s">
        <v>38</v>
      </c>
      <c r="F13" s="29">
        <v>451.11</v>
      </c>
      <c r="G13" s="28"/>
    </row>
    <row r="14" spans="1:7" x14ac:dyDescent="0.3">
      <c r="A14" s="26" t="s">
        <v>69</v>
      </c>
      <c r="B14" s="27">
        <v>36052.53</v>
      </c>
      <c r="C14" s="28">
        <f t="shared" si="0"/>
        <v>10</v>
      </c>
      <c r="E14" s="28" t="s">
        <v>26</v>
      </c>
      <c r="F14" s="29">
        <v>442.32</v>
      </c>
      <c r="G14" s="28"/>
    </row>
    <row r="15" spans="1:7" x14ac:dyDescent="0.3">
      <c r="A15" s="26" t="s">
        <v>131</v>
      </c>
      <c r="B15" s="27">
        <v>35837.089999999997</v>
      </c>
      <c r="C15" s="28">
        <f t="shared" si="0"/>
        <v>11</v>
      </c>
    </row>
    <row r="16" spans="1:7" x14ac:dyDescent="0.3">
      <c r="A16" s="26" t="s">
        <v>114</v>
      </c>
      <c r="B16" s="27">
        <v>35804.080000000002</v>
      </c>
      <c r="C16" s="28">
        <f t="shared" si="0"/>
        <v>12</v>
      </c>
    </row>
    <row r="17" spans="1:3" x14ac:dyDescent="0.3">
      <c r="A17" s="26" t="s">
        <v>110</v>
      </c>
      <c r="B17" s="27">
        <v>33742.39</v>
      </c>
      <c r="C17" s="28">
        <f t="shared" si="0"/>
        <v>13</v>
      </c>
    </row>
    <row r="18" spans="1:3" x14ac:dyDescent="0.3">
      <c r="A18" s="26" t="s">
        <v>101</v>
      </c>
      <c r="B18" s="27">
        <v>32301.82</v>
      </c>
      <c r="C18" s="28">
        <f t="shared" si="0"/>
        <v>14</v>
      </c>
    </row>
    <row r="19" spans="1:3" x14ac:dyDescent="0.3">
      <c r="A19" s="26" t="s">
        <v>145</v>
      </c>
      <c r="B19" s="27">
        <v>30343.87</v>
      </c>
      <c r="C19" s="28">
        <f t="shared" si="0"/>
        <v>15</v>
      </c>
    </row>
    <row r="20" spans="1:3" x14ac:dyDescent="0.3">
      <c r="A20" s="26" t="s">
        <v>37</v>
      </c>
      <c r="B20" s="27">
        <v>30191.59</v>
      </c>
      <c r="C20" s="28">
        <f t="shared" si="0"/>
        <v>16</v>
      </c>
    </row>
    <row r="21" spans="1:3" x14ac:dyDescent="0.3">
      <c r="A21" s="26" t="s">
        <v>33</v>
      </c>
      <c r="B21" s="27">
        <v>29795.759999999998</v>
      </c>
      <c r="C21" s="28">
        <f t="shared" si="0"/>
        <v>17</v>
      </c>
    </row>
    <row r="22" spans="1:3" x14ac:dyDescent="0.3">
      <c r="A22" s="26" t="s">
        <v>125</v>
      </c>
      <c r="B22" s="27">
        <v>29757.68</v>
      </c>
      <c r="C22" s="28">
        <f t="shared" si="0"/>
        <v>18</v>
      </c>
    </row>
    <row r="23" spans="1:3" x14ac:dyDescent="0.3">
      <c r="A23" s="26" t="s">
        <v>83</v>
      </c>
      <c r="B23" s="27">
        <v>28083.42</v>
      </c>
      <c r="C23" s="28">
        <f t="shared" si="0"/>
        <v>19</v>
      </c>
    </row>
    <row r="24" spans="1:3" x14ac:dyDescent="0.3">
      <c r="A24" s="26" t="s">
        <v>123</v>
      </c>
      <c r="B24" s="27">
        <v>27454.98</v>
      </c>
      <c r="C24" s="28">
        <f t="shared" si="0"/>
        <v>20</v>
      </c>
    </row>
    <row r="25" spans="1:3" x14ac:dyDescent="0.3">
      <c r="A25" s="26" t="s">
        <v>177</v>
      </c>
      <c r="B25" s="27">
        <v>27409.14</v>
      </c>
      <c r="C25" s="28">
        <f t="shared" si="0"/>
        <v>21</v>
      </c>
    </row>
    <row r="26" spans="1:3" x14ac:dyDescent="0.3">
      <c r="A26" s="26" t="s">
        <v>50</v>
      </c>
      <c r="B26" s="27">
        <v>25696.720000000001</v>
      </c>
      <c r="C26" s="28">
        <f t="shared" si="0"/>
        <v>22</v>
      </c>
    </row>
    <row r="27" spans="1:3" x14ac:dyDescent="0.3">
      <c r="A27" s="26" t="s">
        <v>222</v>
      </c>
      <c r="B27" s="27">
        <v>24112.15</v>
      </c>
      <c r="C27" s="28">
        <f t="shared" si="0"/>
        <v>23</v>
      </c>
    </row>
    <row r="28" spans="1:3" x14ac:dyDescent="0.3">
      <c r="A28" s="26" t="s">
        <v>96</v>
      </c>
      <c r="B28" s="27">
        <v>23666.17</v>
      </c>
      <c r="C28" s="28">
        <f t="shared" si="0"/>
        <v>24</v>
      </c>
    </row>
    <row r="29" spans="1:3" x14ac:dyDescent="0.3">
      <c r="A29" s="26" t="s">
        <v>138</v>
      </c>
      <c r="B29" s="27">
        <v>23137.14</v>
      </c>
      <c r="C29" s="28">
        <f t="shared" si="0"/>
        <v>25</v>
      </c>
    </row>
    <row r="30" spans="1:3" x14ac:dyDescent="0.3">
      <c r="A30" s="26" t="s">
        <v>61</v>
      </c>
      <c r="B30" s="27">
        <v>22823.84</v>
      </c>
      <c r="C30" s="28">
        <f t="shared" si="0"/>
        <v>26</v>
      </c>
    </row>
    <row r="31" spans="1:3" x14ac:dyDescent="0.3">
      <c r="A31" s="26" t="s">
        <v>174</v>
      </c>
      <c r="B31" s="27">
        <v>22706.48</v>
      </c>
      <c r="C31" s="28">
        <f t="shared" si="0"/>
        <v>27</v>
      </c>
    </row>
    <row r="32" spans="1:3" x14ac:dyDescent="0.3">
      <c r="A32" s="26" t="s">
        <v>91</v>
      </c>
      <c r="B32" s="27">
        <v>22434.69</v>
      </c>
      <c r="C32" s="28">
        <f t="shared" si="0"/>
        <v>28</v>
      </c>
    </row>
    <row r="33" spans="1:3" x14ac:dyDescent="0.3">
      <c r="A33" s="26" t="s">
        <v>85</v>
      </c>
      <c r="B33" s="27">
        <v>21986.12</v>
      </c>
      <c r="C33" s="28">
        <f t="shared" si="0"/>
        <v>29</v>
      </c>
    </row>
    <row r="34" spans="1:3" x14ac:dyDescent="0.3">
      <c r="A34" s="26" t="s">
        <v>71</v>
      </c>
      <c r="B34" s="27">
        <v>21357.79</v>
      </c>
      <c r="C34" s="28">
        <f t="shared" si="0"/>
        <v>30</v>
      </c>
    </row>
  </sheetData>
  <mergeCells count="3">
    <mergeCell ref="A1:E1"/>
    <mergeCell ref="A3:C3"/>
    <mergeCell ref="E3:G3"/>
  </mergeCells>
  <conditionalFormatting sqref="B5:B34">
    <cfRule type="cellIs" dxfId="4" priority="2" operator="greaterThan">
      <formula>36052.53</formula>
    </cfRule>
    <cfRule type="colorScale" priority="3">
      <colorScale>
        <cfvo type="min"/>
        <cfvo type="percentile" val="50"/>
        <cfvo type="max"/>
        <color rgb="FFFFEB84"/>
        <color rgb="FFFFEB84"/>
        <color rgb="FF63BE7B"/>
      </colorScale>
    </cfRule>
  </conditionalFormatting>
  <conditionalFormatting sqref="F5:F14">
    <cfRule type="iconSet" priority="4">
      <iconSet iconSet="3Arrows">
        <cfvo type="percent" val="0"/>
        <cfvo type="percent" val="33"/>
        <cfvo type="percent" val="67"/>
      </iconSet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G23"/>
  <sheetViews>
    <sheetView zoomScaleNormal="100" workbookViewId="0">
      <selection sqref="A1:G1"/>
    </sheetView>
  </sheetViews>
  <sheetFormatPr defaultColWidth="8.6640625" defaultRowHeight="14.4" x14ac:dyDescent="0.3"/>
  <cols>
    <col min="1" max="7" width="18" customWidth="1"/>
  </cols>
  <sheetData>
    <row r="1" spans="1:7" ht="30" customHeight="1" x14ac:dyDescent="0.3">
      <c r="A1" s="14" t="s">
        <v>594</v>
      </c>
      <c r="B1" s="14"/>
      <c r="C1" s="14"/>
      <c r="D1" s="14"/>
      <c r="E1" s="14"/>
      <c r="F1" s="14"/>
      <c r="G1" s="14"/>
    </row>
    <row r="3" spans="1:7" ht="15.6" x14ac:dyDescent="0.3">
      <c r="A3" s="24" t="s">
        <v>595</v>
      </c>
    </row>
    <row r="4" spans="1:7" x14ac:dyDescent="0.3">
      <c r="A4" s="30" t="s">
        <v>590</v>
      </c>
      <c r="B4" s="31">
        <v>1336008.68</v>
      </c>
    </row>
    <row r="5" spans="1:7" x14ac:dyDescent="0.3">
      <c r="A5" s="30" t="s">
        <v>596</v>
      </c>
      <c r="B5" s="31">
        <v>248655.73</v>
      </c>
    </row>
    <row r="6" spans="1:7" x14ac:dyDescent="0.3">
      <c r="A6" s="30" t="s">
        <v>597</v>
      </c>
      <c r="B6" s="32">
        <v>18.61</v>
      </c>
    </row>
    <row r="8" spans="1:7" ht="15.6" x14ac:dyDescent="0.3">
      <c r="A8" s="13" t="s">
        <v>598</v>
      </c>
      <c r="B8" s="13"/>
      <c r="C8" s="13"/>
      <c r="D8" s="13"/>
      <c r="E8" s="13"/>
      <c r="F8" s="13"/>
      <c r="G8" s="13"/>
    </row>
    <row r="9" spans="1:7" ht="19.5" customHeight="1" x14ac:dyDescent="0.3">
      <c r="A9" s="33" t="s">
        <v>599</v>
      </c>
      <c r="B9" s="33" t="s">
        <v>600</v>
      </c>
      <c r="C9" s="33" t="s">
        <v>601</v>
      </c>
      <c r="D9" s="33" t="s">
        <v>602</v>
      </c>
      <c r="E9" s="33" t="s">
        <v>603</v>
      </c>
      <c r="F9" s="33" t="s">
        <v>604</v>
      </c>
      <c r="G9" s="33" t="s">
        <v>605</v>
      </c>
    </row>
    <row r="10" spans="1:7" x14ac:dyDescent="0.3">
      <c r="A10" s="34">
        <v>0.05</v>
      </c>
      <c r="B10" s="35">
        <f>$B$4*(1-A10)</f>
        <v>1269208.2459999998</v>
      </c>
      <c r="C10" s="35">
        <f>B10*($B$6/100)</f>
        <v>236199.65458059995</v>
      </c>
      <c r="D10" s="35">
        <f>C10-$B$5</f>
        <v>-12456.075419400062</v>
      </c>
      <c r="E10" s="36">
        <f>(C10-$B$5)/$B$5</f>
        <v>-5.0093659291101239E-2</v>
      </c>
      <c r="F10" s="36">
        <f>C10/B10</f>
        <v>0.18609999999999999</v>
      </c>
      <c r="G10" s="37" t="str">
        <f>IF(D10&gt;0,"✔ Profitable","✘ Loss")</f>
        <v>✘ Loss</v>
      </c>
    </row>
    <row r="11" spans="1:7" x14ac:dyDescent="0.3">
      <c r="A11" s="38">
        <v>0.1</v>
      </c>
      <c r="B11" s="39">
        <f>$B$4*(1-A11)</f>
        <v>1202407.8119999999</v>
      </c>
      <c r="C11" s="39">
        <f>B11*($B$6/100)</f>
        <v>223768.09381319996</v>
      </c>
      <c r="D11" s="39">
        <f>C11-$B$5</f>
        <v>-24887.636186800053</v>
      </c>
      <c r="E11" s="40">
        <f>(C11-$B$5)/$B$5</f>
        <v>-0.10008872985472747</v>
      </c>
      <c r="F11" s="40">
        <f>C11/B11</f>
        <v>0.18609999999999999</v>
      </c>
      <c r="G11" s="41" t="str">
        <f>IF(D11&gt;0,"✔ Profitable","✘ Loss")</f>
        <v>✘ Loss</v>
      </c>
    </row>
    <row r="12" spans="1:7" x14ac:dyDescent="0.3">
      <c r="A12" s="34">
        <v>0.15</v>
      </c>
      <c r="B12" s="35">
        <f>$B$4*(1-A12)</f>
        <v>1135607.378</v>
      </c>
      <c r="C12" s="35">
        <f>B12*($B$6/100)</f>
        <v>211336.5330458</v>
      </c>
      <c r="D12" s="35">
        <f>C12-$B$5</f>
        <v>-37319.196954200015</v>
      </c>
      <c r="E12" s="36">
        <f>(C12-$B$5)/$B$5</f>
        <v>-0.15008380041835356</v>
      </c>
      <c r="F12" s="36">
        <f>C12/B12</f>
        <v>0.18609999999999999</v>
      </c>
      <c r="G12" s="37" t="str">
        <f>IF(D12&gt;0,"✔ Profitable","✘ Loss")</f>
        <v>✘ Loss</v>
      </c>
    </row>
    <row r="13" spans="1:7" x14ac:dyDescent="0.3">
      <c r="A13" s="38">
        <v>0.2</v>
      </c>
      <c r="B13" s="39">
        <f>$B$4*(1-A13)</f>
        <v>1068806.9439999999</v>
      </c>
      <c r="C13" s="39">
        <f>B13*($B$6/100)</f>
        <v>198904.97227839998</v>
      </c>
      <c r="D13" s="39">
        <f>C13-$B$5</f>
        <v>-49750.757721600035</v>
      </c>
      <c r="E13" s="40">
        <f>(C13-$B$5)/$B$5</f>
        <v>-0.20007887098197991</v>
      </c>
      <c r="F13" s="40">
        <f>C13/B13</f>
        <v>0.18609999999999999</v>
      </c>
      <c r="G13" s="41" t="str">
        <f>IF(D13&gt;0,"✔ Profitable","✘ Loss")</f>
        <v>✘ Loss</v>
      </c>
    </row>
    <row r="14" spans="1:7" x14ac:dyDescent="0.3">
      <c r="A14" s="34">
        <v>0.25</v>
      </c>
      <c r="B14" s="35">
        <f>$B$4*(1-A14)</f>
        <v>1002006.51</v>
      </c>
      <c r="C14" s="35">
        <f>B14*($B$6/100)</f>
        <v>186473.41151099998</v>
      </c>
      <c r="D14" s="35">
        <f>C14-$B$5</f>
        <v>-62182.318489000027</v>
      </c>
      <c r="E14" s="36">
        <f>(C14-$B$5)/$B$5</f>
        <v>-0.25007394154560614</v>
      </c>
      <c r="F14" s="36">
        <f>C14/B14</f>
        <v>0.18609999999999999</v>
      </c>
      <c r="G14" s="37" t="str">
        <f>IF(D14&gt;0,"✔ Profitable","✘ Loss")</f>
        <v>✘ Loss</v>
      </c>
    </row>
    <row r="17" spans="1:7" ht="15.6" x14ac:dyDescent="0.3">
      <c r="A17" s="13" t="s">
        <v>606</v>
      </c>
      <c r="B17" s="13"/>
      <c r="C17" s="13"/>
      <c r="D17" s="13"/>
      <c r="E17" s="13"/>
      <c r="F17" s="13"/>
      <c r="G17" s="13"/>
    </row>
    <row r="18" spans="1:7" x14ac:dyDescent="0.3">
      <c r="B18" s="42" t="s">
        <v>607</v>
      </c>
      <c r="C18" s="42" t="s">
        <v>608</v>
      </c>
      <c r="D18" s="42" t="s">
        <v>609</v>
      </c>
      <c r="E18" s="42" t="s">
        <v>610</v>
      </c>
      <c r="F18" s="42" t="s">
        <v>611</v>
      </c>
    </row>
    <row r="19" spans="1:7" x14ac:dyDescent="0.3">
      <c r="A19" s="42" t="s">
        <v>612</v>
      </c>
      <c r="B19" s="43">
        <v>221.85</v>
      </c>
      <c r="C19" s="43">
        <v>210.17</v>
      </c>
      <c r="D19" s="43">
        <v>198.49</v>
      </c>
      <c r="E19" s="43">
        <v>186.82</v>
      </c>
      <c r="F19" s="43">
        <v>175.14</v>
      </c>
    </row>
    <row r="20" spans="1:7" x14ac:dyDescent="0.3">
      <c r="A20" s="42" t="s">
        <v>613</v>
      </c>
      <c r="B20" s="43">
        <v>443.69</v>
      </c>
      <c r="C20" s="43">
        <v>420.34</v>
      </c>
      <c r="D20" s="43">
        <v>396.99</v>
      </c>
      <c r="E20" s="43">
        <v>373.64</v>
      </c>
      <c r="F20" s="43">
        <v>350.29</v>
      </c>
    </row>
    <row r="21" spans="1:7" x14ac:dyDescent="0.3">
      <c r="A21" s="42" t="s">
        <v>614</v>
      </c>
      <c r="B21" s="43">
        <v>665.54</v>
      </c>
      <c r="C21" s="43">
        <v>630.51</v>
      </c>
      <c r="D21" s="43">
        <v>595.48</v>
      </c>
      <c r="E21" s="43">
        <v>560.46</v>
      </c>
      <c r="F21" s="43">
        <v>525.42999999999995</v>
      </c>
    </row>
    <row r="22" spans="1:7" x14ac:dyDescent="0.3">
      <c r="A22" s="42" t="s">
        <v>615</v>
      </c>
      <c r="B22" s="43">
        <v>887.39</v>
      </c>
      <c r="C22" s="43">
        <v>840.68</v>
      </c>
      <c r="D22" s="43">
        <v>793.98</v>
      </c>
      <c r="E22" s="43">
        <v>747.27</v>
      </c>
      <c r="F22" s="43">
        <v>700.57</v>
      </c>
    </row>
    <row r="23" spans="1:7" x14ac:dyDescent="0.3">
      <c r="A23" s="42" t="s">
        <v>616</v>
      </c>
      <c r="B23" s="43">
        <v>1109.24</v>
      </c>
      <c r="C23" s="43">
        <v>1050.8599999999999</v>
      </c>
      <c r="D23" s="43">
        <v>992.47</v>
      </c>
      <c r="E23" s="43">
        <v>934.09</v>
      </c>
      <c r="F23" s="43">
        <v>875.71</v>
      </c>
    </row>
  </sheetData>
  <mergeCells count="3">
    <mergeCell ref="A1:G1"/>
    <mergeCell ref="A8:G8"/>
    <mergeCell ref="A17:G17"/>
  </mergeCells>
  <conditionalFormatting sqref="B19:F23">
    <cfRule type="colorScale" priority="4">
      <colorScale>
        <cfvo type="min"/>
        <cfvo type="max"/>
        <color rgb="FFF8696B"/>
        <color rgb="FF63BE7B"/>
      </colorScale>
    </cfRule>
  </conditionalFormatting>
  <conditionalFormatting sqref="D10:D14">
    <cfRule type="cellIs" dxfId="3" priority="2" operator="lessThan">
      <formula>0</formula>
    </cfRule>
    <cfRule type="cellIs" dxfId="2" priority="3" operator="greaterThanOr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H86"/>
  <sheetViews>
    <sheetView zoomScaleNormal="100" workbookViewId="0">
      <selection sqref="A1:H1"/>
    </sheetView>
  </sheetViews>
  <sheetFormatPr defaultColWidth="8.6640625" defaultRowHeight="14.4" x14ac:dyDescent="0.3"/>
  <cols>
    <col min="1" max="1" width="22" customWidth="1"/>
    <col min="2" max="2" width="16" customWidth="1"/>
    <col min="4" max="6" width="16" customWidth="1"/>
  </cols>
  <sheetData>
    <row r="1" spans="1:8" ht="30" customHeight="1" x14ac:dyDescent="0.3">
      <c r="A1" s="14" t="s">
        <v>617</v>
      </c>
      <c r="B1" s="14"/>
      <c r="C1" s="14"/>
      <c r="D1" s="14"/>
      <c r="E1" s="14"/>
      <c r="F1" s="14"/>
      <c r="G1" s="14"/>
      <c r="H1" s="14"/>
    </row>
    <row r="3" spans="1:8" ht="15" customHeight="1" x14ac:dyDescent="0.3">
      <c r="A3" s="24" t="s">
        <v>618</v>
      </c>
      <c r="D3" s="12" t="s">
        <v>619</v>
      </c>
      <c r="E3" s="12"/>
      <c r="F3" s="12"/>
      <c r="G3" s="12"/>
      <c r="H3" s="12"/>
    </row>
    <row r="4" spans="1:8" x14ac:dyDescent="0.3">
      <c r="A4" s="15" t="s">
        <v>620</v>
      </c>
      <c r="B4" s="15" t="s">
        <v>621</v>
      </c>
      <c r="D4" s="12"/>
      <c r="E4" s="12"/>
      <c r="F4" s="12"/>
      <c r="G4" s="12"/>
      <c r="H4" s="12"/>
    </row>
    <row r="5" spans="1:8" x14ac:dyDescent="0.3">
      <c r="A5" s="44" t="s">
        <v>622</v>
      </c>
      <c r="B5" s="45">
        <v>0.62385500000000005</v>
      </c>
    </row>
    <row r="6" spans="1:8" x14ac:dyDescent="0.3">
      <c r="A6" s="46" t="s">
        <v>623</v>
      </c>
      <c r="B6" s="47">
        <v>0.62309999999999999</v>
      </c>
      <c r="D6" s="15" t="s">
        <v>6</v>
      </c>
      <c r="E6" s="15" t="s">
        <v>624</v>
      </c>
      <c r="F6" s="15" t="s">
        <v>625</v>
      </c>
    </row>
    <row r="7" spans="1:8" x14ac:dyDescent="0.3">
      <c r="A7" s="44" t="s">
        <v>626</v>
      </c>
      <c r="B7" s="45">
        <v>0.18289</v>
      </c>
      <c r="D7" s="45">
        <v>4546.0200000000004</v>
      </c>
      <c r="E7" s="45">
        <v>454.86</v>
      </c>
      <c r="F7" s="45">
        <v>840.05</v>
      </c>
    </row>
    <row r="8" spans="1:8" x14ac:dyDescent="0.3">
      <c r="A8" s="46" t="s">
        <v>627</v>
      </c>
      <c r="B8" s="47">
        <v>8.6250999999999998</v>
      </c>
      <c r="D8" s="45">
        <v>3672.09</v>
      </c>
      <c r="E8" s="45">
        <v>672.14</v>
      </c>
      <c r="F8" s="45">
        <v>680.22</v>
      </c>
    </row>
    <row r="9" spans="1:8" x14ac:dyDescent="0.3">
      <c r="A9" s="44" t="s">
        <v>628</v>
      </c>
      <c r="B9" s="45">
        <v>191.69049999999999</v>
      </c>
      <c r="D9" s="45">
        <v>2099.77</v>
      </c>
      <c r="E9" s="45">
        <v>382.49</v>
      </c>
      <c r="F9" s="45">
        <v>392.65</v>
      </c>
    </row>
    <row r="10" spans="1:8" x14ac:dyDescent="0.3">
      <c r="A10" s="46" t="s">
        <v>629</v>
      </c>
      <c r="B10" s="47">
        <v>28.7395</v>
      </c>
      <c r="D10" s="45">
        <v>2780.65</v>
      </c>
      <c r="E10" s="45">
        <v>346.82</v>
      </c>
      <c r="F10" s="45">
        <v>517.17999999999995</v>
      </c>
    </row>
    <row r="11" spans="1:8" x14ac:dyDescent="0.3">
      <c r="A11" s="44" t="s">
        <v>630</v>
      </c>
      <c r="B11" s="45">
        <v>0</v>
      </c>
      <c r="D11" s="45">
        <v>4091.7</v>
      </c>
      <c r="E11" s="45">
        <v>347.62</v>
      </c>
      <c r="F11" s="45">
        <v>756.96</v>
      </c>
    </row>
    <row r="12" spans="1:8" x14ac:dyDescent="0.3">
      <c r="A12" s="46" t="s">
        <v>631</v>
      </c>
      <c r="B12" s="47">
        <v>500</v>
      </c>
      <c r="D12" s="45">
        <v>3384.26</v>
      </c>
      <c r="E12" s="45">
        <v>900.02</v>
      </c>
      <c r="F12" s="45">
        <v>627.57000000000005</v>
      </c>
    </row>
    <row r="13" spans="1:8" x14ac:dyDescent="0.3">
      <c r="D13" s="45">
        <v>2749.43</v>
      </c>
      <c r="E13" s="45">
        <v>513.16999999999996</v>
      </c>
      <c r="F13" s="45">
        <v>511.47</v>
      </c>
    </row>
    <row r="14" spans="1:8" x14ac:dyDescent="0.3">
      <c r="D14" s="45">
        <v>1258.5899999999999</v>
      </c>
      <c r="E14" s="45">
        <v>190.56</v>
      </c>
      <c r="F14" s="45">
        <v>238.81</v>
      </c>
    </row>
    <row r="15" spans="1:8" ht="15.6" x14ac:dyDescent="0.3">
      <c r="A15" s="24" t="s">
        <v>632</v>
      </c>
      <c r="D15" s="45">
        <v>3557.43</v>
      </c>
      <c r="E15" s="45">
        <v>429.22</v>
      </c>
      <c r="F15" s="45">
        <v>659.24</v>
      </c>
    </row>
    <row r="16" spans="1:8" x14ac:dyDescent="0.3">
      <c r="A16" s="11" t="s">
        <v>633</v>
      </c>
      <c r="B16" s="11"/>
      <c r="C16" s="11"/>
      <c r="D16" s="45">
        <v>773.86</v>
      </c>
      <c r="E16" s="45">
        <v>196.01</v>
      </c>
      <c r="F16" s="45">
        <v>150.16</v>
      </c>
    </row>
    <row r="17" spans="1:6" x14ac:dyDescent="0.3">
      <c r="A17" s="11" t="s">
        <v>634</v>
      </c>
      <c r="B17" s="11"/>
      <c r="C17" s="11"/>
      <c r="D17" s="45">
        <v>3030.02</v>
      </c>
      <c r="E17" s="45">
        <v>566.30999999999995</v>
      </c>
      <c r="F17" s="45">
        <v>562.79</v>
      </c>
    </row>
    <row r="18" spans="1:6" x14ac:dyDescent="0.3">
      <c r="A18" s="11" t="s">
        <v>635</v>
      </c>
      <c r="B18" s="11"/>
      <c r="C18" s="11"/>
      <c r="D18" s="45">
        <v>3995.56</v>
      </c>
      <c r="E18" s="45">
        <v>1056.95</v>
      </c>
      <c r="F18" s="45">
        <v>739.37</v>
      </c>
    </row>
    <row r="19" spans="1:6" x14ac:dyDescent="0.3">
      <c r="D19" s="45">
        <v>1351.35</v>
      </c>
      <c r="E19" s="45">
        <v>120.37</v>
      </c>
      <c r="F19" s="45">
        <v>255.77</v>
      </c>
    </row>
    <row r="20" spans="1:6" x14ac:dyDescent="0.3">
      <c r="D20" s="45">
        <v>356.67</v>
      </c>
      <c r="E20" s="45">
        <v>83.9</v>
      </c>
      <c r="F20" s="45">
        <v>73.86</v>
      </c>
    </row>
    <row r="21" spans="1:6" x14ac:dyDescent="0.3">
      <c r="D21" s="45">
        <v>2456.0500000000002</v>
      </c>
      <c r="E21" s="45">
        <v>360.21</v>
      </c>
      <c r="F21" s="45">
        <v>457.81</v>
      </c>
    </row>
    <row r="22" spans="1:6" x14ac:dyDescent="0.3">
      <c r="D22" s="45">
        <v>3188.64</v>
      </c>
      <c r="E22" s="45">
        <v>653.92999999999995</v>
      </c>
      <c r="F22" s="45">
        <v>591.79999999999995</v>
      </c>
    </row>
    <row r="23" spans="1:6" x14ac:dyDescent="0.3">
      <c r="D23" s="45">
        <v>2850.81</v>
      </c>
      <c r="E23" s="45">
        <v>422.96</v>
      </c>
      <c r="F23" s="45">
        <v>530.01</v>
      </c>
    </row>
    <row r="24" spans="1:6" x14ac:dyDescent="0.3">
      <c r="D24" s="45">
        <v>3981.04</v>
      </c>
      <c r="E24" s="45">
        <v>1032.55</v>
      </c>
      <c r="F24" s="45">
        <v>736.72</v>
      </c>
    </row>
    <row r="25" spans="1:6" x14ac:dyDescent="0.3">
      <c r="D25" s="45">
        <v>4677.6899999999996</v>
      </c>
      <c r="E25" s="45">
        <v>1453.24</v>
      </c>
      <c r="F25" s="45">
        <v>864.13</v>
      </c>
    </row>
    <row r="26" spans="1:6" x14ac:dyDescent="0.3">
      <c r="D26" s="45">
        <v>3774.58</v>
      </c>
      <c r="E26" s="45">
        <v>593.41999999999996</v>
      </c>
      <c r="F26" s="45">
        <v>698.96</v>
      </c>
    </row>
    <row r="27" spans="1:6" x14ac:dyDescent="0.3">
      <c r="D27" s="45">
        <v>1620.19</v>
      </c>
      <c r="E27" s="45">
        <v>145.27000000000001</v>
      </c>
      <c r="F27" s="45">
        <v>304.94</v>
      </c>
    </row>
    <row r="28" spans="1:6" x14ac:dyDescent="0.3">
      <c r="D28" s="45">
        <v>4147.6000000000004</v>
      </c>
      <c r="E28" s="45">
        <v>448.04</v>
      </c>
      <c r="F28" s="45">
        <v>767.18</v>
      </c>
    </row>
    <row r="29" spans="1:6" x14ac:dyDescent="0.3">
      <c r="D29" s="45">
        <v>417.66</v>
      </c>
      <c r="E29" s="45">
        <v>69.87</v>
      </c>
      <c r="F29" s="45">
        <v>85.01</v>
      </c>
    </row>
    <row r="30" spans="1:6" x14ac:dyDescent="0.3">
      <c r="D30" s="45">
        <v>3977.49</v>
      </c>
      <c r="E30" s="45">
        <v>419.38</v>
      </c>
      <c r="F30" s="45">
        <v>736.07</v>
      </c>
    </row>
    <row r="31" spans="1:6" x14ac:dyDescent="0.3">
      <c r="D31" s="45">
        <v>1511.7</v>
      </c>
      <c r="E31" s="45">
        <v>424.53</v>
      </c>
      <c r="F31" s="45">
        <v>285.10000000000002</v>
      </c>
    </row>
    <row r="32" spans="1:6" x14ac:dyDescent="0.3">
      <c r="D32" s="45">
        <v>3821.29</v>
      </c>
      <c r="E32" s="45">
        <v>974.69</v>
      </c>
      <c r="F32" s="45">
        <v>707.5</v>
      </c>
    </row>
    <row r="33" spans="4:6" x14ac:dyDescent="0.3">
      <c r="D33" s="45">
        <v>3843.93</v>
      </c>
      <c r="E33" s="45">
        <v>526.9</v>
      </c>
      <c r="F33" s="45">
        <v>711.64</v>
      </c>
    </row>
    <row r="34" spans="4:6" x14ac:dyDescent="0.3">
      <c r="D34" s="45">
        <v>2111.48</v>
      </c>
      <c r="E34" s="45">
        <v>345.78</v>
      </c>
      <c r="F34" s="45">
        <v>394.79</v>
      </c>
    </row>
    <row r="35" spans="4:6" x14ac:dyDescent="0.3">
      <c r="D35" s="45">
        <v>800.82</v>
      </c>
      <c r="E35" s="45">
        <v>172.63</v>
      </c>
      <c r="F35" s="45">
        <v>155.09</v>
      </c>
    </row>
    <row r="36" spans="4:6" x14ac:dyDescent="0.3">
      <c r="D36" s="45">
        <v>550.27</v>
      </c>
      <c r="E36" s="45">
        <v>72.94</v>
      </c>
      <c r="F36" s="45">
        <v>109.26</v>
      </c>
    </row>
    <row r="37" spans="4:6" x14ac:dyDescent="0.3">
      <c r="D37" s="45">
        <v>393.22</v>
      </c>
      <c r="E37" s="45">
        <v>50.15</v>
      </c>
      <c r="F37" s="45">
        <v>80.540000000000006</v>
      </c>
    </row>
    <row r="38" spans="4:6" x14ac:dyDescent="0.3">
      <c r="D38" s="45">
        <v>3434.27</v>
      </c>
      <c r="E38" s="45">
        <v>675.66</v>
      </c>
      <c r="F38" s="45">
        <v>636.72</v>
      </c>
    </row>
    <row r="39" spans="4:6" x14ac:dyDescent="0.3">
      <c r="D39" s="45">
        <v>1195.24</v>
      </c>
      <c r="E39" s="45">
        <v>355.11</v>
      </c>
      <c r="F39" s="45">
        <v>227.22</v>
      </c>
    </row>
    <row r="40" spans="4:6" x14ac:dyDescent="0.3">
      <c r="D40" s="45">
        <v>1481.57</v>
      </c>
      <c r="E40" s="45">
        <v>221</v>
      </c>
      <c r="F40" s="45">
        <v>279.58999999999997</v>
      </c>
    </row>
    <row r="41" spans="4:6" x14ac:dyDescent="0.3">
      <c r="D41" s="45">
        <v>4946.42</v>
      </c>
      <c r="E41" s="45">
        <v>857.55</v>
      </c>
      <c r="F41" s="45">
        <v>913.28</v>
      </c>
    </row>
    <row r="42" spans="4:6" x14ac:dyDescent="0.3">
      <c r="D42" s="45">
        <v>2753.28</v>
      </c>
      <c r="E42" s="45">
        <v>401.13</v>
      </c>
      <c r="F42" s="45">
        <v>512.16999999999996</v>
      </c>
    </row>
    <row r="43" spans="4:6" x14ac:dyDescent="0.3">
      <c r="D43" s="45">
        <v>2342.92</v>
      </c>
      <c r="E43" s="45">
        <v>358.76</v>
      </c>
      <c r="F43" s="45">
        <v>437.12</v>
      </c>
    </row>
    <row r="44" spans="4:6" x14ac:dyDescent="0.3">
      <c r="D44" s="45">
        <v>492.6</v>
      </c>
      <c r="E44" s="45">
        <v>118.2</v>
      </c>
      <c r="F44" s="45">
        <v>98.72</v>
      </c>
    </row>
    <row r="45" spans="4:6" x14ac:dyDescent="0.3">
      <c r="D45" s="45">
        <v>2934.99</v>
      </c>
      <c r="E45" s="45">
        <v>593.87</v>
      </c>
      <c r="F45" s="45">
        <v>545.41</v>
      </c>
    </row>
    <row r="46" spans="4:6" x14ac:dyDescent="0.3">
      <c r="D46" s="45">
        <v>3717.31</v>
      </c>
      <c r="E46" s="45">
        <v>449.68</v>
      </c>
      <c r="F46" s="45">
        <v>688.49</v>
      </c>
    </row>
    <row r="47" spans="4:6" x14ac:dyDescent="0.3">
      <c r="D47" s="45">
        <v>2541.6999999999998</v>
      </c>
      <c r="E47" s="45">
        <v>562.73</v>
      </c>
      <c r="F47" s="45">
        <v>473.48</v>
      </c>
    </row>
    <row r="48" spans="4:6" x14ac:dyDescent="0.3">
      <c r="D48" s="45">
        <v>282.27999999999997</v>
      </c>
      <c r="E48" s="45">
        <v>68.099999999999994</v>
      </c>
      <c r="F48" s="45">
        <v>60.25</v>
      </c>
    </row>
    <row r="49" spans="4:6" x14ac:dyDescent="0.3">
      <c r="D49" s="45">
        <v>1367.4</v>
      </c>
      <c r="E49" s="45">
        <v>215.36</v>
      </c>
      <c r="F49" s="45">
        <v>258.70999999999998</v>
      </c>
    </row>
    <row r="50" spans="4:6" x14ac:dyDescent="0.3">
      <c r="D50" s="45">
        <v>1501.26</v>
      </c>
      <c r="E50" s="45">
        <v>386.65</v>
      </c>
      <c r="F50" s="45">
        <v>283.19</v>
      </c>
    </row>
    <row r="51" spans="4:6" x14ac:dyDescent="0.3">
      <c r="D51" s="45">
        <v>1295.06</v>
      </c>
      <c r="E51" s="45">
        <v>325.66000000000003</v>
      </c>
      <c r="F51" s="45">
        <v>245.48</v>
      </c>
    </row>
    <row r="52" spans="4:6" x14ac:dyDescent="0.3">
      <c r="D52" s="45">
        <v>3140.85</v>
      </c>
      <c r="E52" s="45">
        <v>814.82</v>
      </c>
      <c r="F52" s="45">
        <v>583.05999999999995</v>
      </c>
    </row>
    <row r="53" spans="4:6" x14ac:dyDescent="0.3">
      <c r="D53" s="45">
        <v>724.94</v>
      </c>
      <c r="E53" s="45">
        <v>216.93</v>
      </c>
      <c r="F53" s="45">
        <v>141.21</v>
      </c>
    </row>
    <row r="54" spans="4:6" x14ac:dyDescent="0.3">
      <c r="D54" s="45">
        <v>1870.04</v>
      </c>
      <c r="E54" s="45">
        <v>380.5</v>
      </c>
      <c r="F54" s="45">
        <v>350.64</v>
      </c>
    </row>
    <row r="55" spans="4:6" x14ac:dyDescent="0.3">
      <c r="D55" s="45">
        <v>855.37</v>
      </c>
      <c r="E55" s="45">
        <v>233.32</v>
      </c>
      <c r="F55" s="45">
        <v>165.06</v>
      </c>
    </row>
    <row r="56" spans="4:6" x14ac:dyDescent="0.3">
      <c r="D56" s="45">
        <v>748.19</v>
      </c>
      <c r="E56" s="45">
        <v>171.61</v>
      </c>
      <c r="F56" s="45">
        <v>145.46</v>
      </c>
    </row>
    <row r="57" spans="4:6" x14ac:dyDescent="0.3">
      <c r="D57" s="45">
        <v>4950.92</v>
      </c>
      <c r="E57" s="45">
        <v>1335.74</v>
      </c>
      <c r="F57" s="45">
        <v>914.1</v>
      </c>
    </row>
    <row r="58" spans="4:6" x14ac:dyDescent="0.3">
      <c r="D58" s="45">
        <v>4120.3</v>
      </c>
      <c r="E58" s="45">
        <v>1042.68</v>
      </c>
      <c r="F58" s="45">
        <v>762.19</v>
      </c>
    </row>
    <row r="59" spans="4:6" x14ac:dyDescent="0.3">
      <c r="D59" s="45">
        <v>2669.19</v>
      </c>
      <c r="E59" s="45">
        <v>339.53</v>
      </c>
      <c r="F59" s="45">
        <v>496.79</v>
      </c>
    </row>
    <row r="60" spans="4:6" x14ac:dyDescent="0.3">
      <c r="D60" s="45">
        <v>2765.24</v>
      </c>
      <c r="E60" s="45">
        <v>851.22</v>
      </c>
      <c r="F60" s="45">
        <v>514.36</v>
      </c>
    </row>
    <row r="61" spans="4:6" x14ac:dyDescent="0.3">
      <c r="D61" s="45">
        <v>836.96</v>
      </c>
      <c r="E61" s="45">
        <v>173.15</v>
      </c>
      <c r="F61" s="45">
        <v>161.69999999999999</v>
      </c>
    </row>
    <row r="62" spans="4:6" x14ac:dyDescent="0.3">
      <c r="D62" s="45">
        <v>240.68</v>
      </c>
      <c r="E62" s="45">
        <v>45.49</v>
      </c>
      <c r="F62" s="45">
        <v>52.64</v>
      </c>
    </row>
    <row r="63" spans="4:6" x14ac:dyDescent="0.3">
      <c r="D63" s="45">
        <v>2080.4</v>
      </c>
      <c r="E63" s="45">
        <v>584.91</v>
      </c>
      <c r="F63" s="45">
        <v>389.11</v>
      </c>
    </row>
    <row r="64" spans="4:6" x14ac:dyDescent="0.3">
      <c r="D64" s="45">
        <v>2954.78</v>
      </c>
      <c r="E64" s="45">
        <v>440.99</v>
      </c>
      <c r="F64" s="45">
        <v>549.03</v>
      </c>
    </row>
    <row r="65" spans="4:6" x14ac:dyDescent="0.3">
      <c r="D65" s="45">
        <v>2464.4699999999998</v>
      </c>
      <c r="E65" s="45">
        <v>650.73</v>
      </c>
      <c r="F65" s="45">
        <v>459.35</v>
      </c>
    </row>
    <row r="66" spans="4:6" x14ac:dyDescent="0.3">
      <c r="D66" s="45">
        <v>775.59</v>
      </c>
      <c r="E66" s="45">
        <v>210.74</v>
      </c>
      <c r="F66" s="45">
        <v>150.47</v>
      </c>
    </row>
    <row r="67" spans="4:6" x14ac:dyDescent="0.3">
      <c r="D67" s="45">
        <v>4311.55</v>
      </c>
      <c r="E67" s="45">
        <v>476.53</v>
      </c>
      <c r="F67" s="45">
        <v>797.17</v>
      </c>
    </row>
    <row r="68" spans="4:6" x14ac:dyDescent="0.3">
      <c r="D68" s="45">
        <v>1815.49</v>
      </c>
      <c r="E68" s="45">
        <v>206.96</v>
      </c>
      <c r="F68" s="45">
        <v>340.66</v>
      </c>
    </row>
    <row r="69" spans="4:6" x14ac:dyDescent="0.3">
      <c r="D69" s="45">
        <v>1672.75</v>
      </c>
      <c r="E69" s="45">
        <v>187.45</v>
      </c>
      <c r="F69" s="45">
        <v>314.56</v>
      </c>
    </row>
    <row r="70" spans="4:6" x14ac:dyDescent="0.3">
      <c r="D70" s="45">
        <v>1864.69</v>
      </c>
      <c r="E70" s="45">
        <v>225.02</v>
      </c>
      <c r="F70" s="45">
        <v>349.66</v>
      </c>
    </row>
    <row r="71" spans="4:6" x14ac:dyDescent="0.3">
      <c r="D71" s="45">
        <v>379.84</v>
      </c>
      <c r="E71" s="45">
        <v>64.81</v>
      </c>
      <c r="F71" s="45">
        <v>78.09</v>
      </c>
    </row>
    <row r="72" spans="4:6" x14ac:dyDescent="0.3">
      <c r="D72" s="45">
        <v>2055.52</v>
      </c>
      <c r="E72" s="45">
        <v>579.88</v>
      </c>
      <c r="F72" s="45">
        <v>384.56</v>
      </c>
    </row>
    <row r="73" spans="4:6" x14ac:dyDescent="0.3">
      <c r="D73" s="45">
        <v>3485.18</v>
      </c>
      <c r="E73" s="45">
        <v>323.31</v>
      </c>
      <c r="F73" s="45">
        <v>646.03</v>
      </c>
    </row>
    <row r="74" spans="4:6" x14ac:dyDescent="0.3">
      <c r="D74" s="45">
        <v>4154.45</v>
      </c>
      <c r="E74" s="45">
        <v>1190.45</v>
      </c>
      <c r="F74" s="45">
        <v>768.43</v>
      </c>
    </row>
    <row r="75" spans="4:6" x14ac:dyDescent="0.3">
      <c r="D75" s="45">
        <v>3322.59</v>
      </c>
      <c r="E75" s="45">
        <v>611.72</v>
      </c>
      <c r="F75" s="45">
        <v>616.29</v>
      </c>
    </row>
    <row r="76" spans="4:6" x14ac:dyDescent="0.3">
      <c r="D76" s="45">
        <v>2477.1</v>
      </c>
      <c r="E76" s="45">
        <v>337.47</v>
      </c>
      <c r="F76" s="45">
        <v>461.66</v>
      </c>
    </row>
    <row r="77" spans="4:6" x14ac:dyDescent="0.3">
      <c r="D77" s="45">
        <v>4684.9799999999996</v>
      </c>
      <c r="E77" s="45">
        <v>1097.03</v>
      </c>
      <c r="F77" s="45">
        <v>865.46</v>
      </c>
    </row>
    <row r="78" spans="4:6" x14ac:dyDescent="0.3">
      <c r="D78" s="45">
        <v>1192.8900000000001</v>
      </c>
      <c r="E78" s="45">
        <v>322.17</v>
      </c>
      <c r="F78" s="45">
        <v>226.79</v>
      </c>
    </row>
    <row r="79" spans="4:6" x14ac:dyDescent="0.3">
      <c r="D79" s="45">
        <v>4480.42</v>
      </c>
      <c r="E79" s="45">
        <v>948.47</v>
      </c>
      <c r="F79" s="45">
        <v>828.05</v>
      </c>
    </row>
    <row r="80" spans="4:6" x14ac:dyDescent="0.3">
      <c r="D80" s="45">
        <v>4411.8900000000003</v>
      </c>
      <c r="E80" s="45">
        <v>1066.18</v>
      </c>
      <c r="F80" s="45">
        <v>815.52</v>
      </c>
    </row>
    <row r="81" spans="4:6" x14ac:dyDescent="0.3">
      <c r="D81" s="45">
        <v>3948.44</v>
      </c>
      <c r="E81" s="45">
        <v>971.3</v>
      </c>
      <c r="F81" s="45">
        <v>730.76</v>
      </c>
    </row>
    <row r="82" spans="4:6" x14ac:dyDescent="0.3">
      <c r="D82" s="45">
        <v>3991.56</v>
      </c>
      <c r="E82" s="45">
        <v>567.36</v>
      </c>
      <c r="F82" s="45">
        <v>738.64</v>
      </c>
    </row>
    <row r="83" spans="4:6" x14ac:dyDescent="0.3">
      <c r="D83" s="45">
        <v>698.85</v>
      </c>
      <c r="E83" s="45">
        <v>161.01</v>
      </c>
      <c r="F83" s="45">
        <v>136.44</v>
      </c>
    </row>
    <row r="84" spans="4:6" x14ac:dyDescent="0.3">
      <c r="D84" s="45">
        <v>3004.02</v>
      </c>
      <c r="E84" s="45">
        <v>544.59</v>
      </c>
      <c r="F84" s="45">
        <v>558.03</v>
      </c>
    </row>
    <row r="85" spans="4:6" x14ac:dyDescent="0.3">
      <c r="D85" s="45">
        <v>2605.39</v>
      </c>
      <c r="E85" s="45">
        <v>493.03</v>
      </c>
      <c r="F85" s="45">
        <v>485.13</v>
      </c>
    </row>
    <row r="86" spans="4:6" x14ac:dyDescent="0.3">
      <c r="D86" s="45">
        <v>1893.91</v>
      </c>
      <c r="E86" s="45">
        <v>356.92</v>
      </c>
      <c r="F86" s="45">
        <v>355</v>
      </c>
    </row>
  </sheetData>
  <mergeCells count="5">
    <mergeCell ref="A1:H1"/>
    <mergeCell ref="D3:H4"/>
    <mergeCell ref="A16:C16"/>
    <mergeCell ref="A17:C17"/>
    <mergeCell ref="A18:C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H18"/>
  <sheetViews>
    <sheetView zoomScaleNormal="100" workbookViewId="0">
      <selection sqref="A1:F1"/>
    </sheetView>
  </sheetViews>
  <sheetFormatPr defaultColWidth="8.6640625" defaultRowHeight="14.4" x14ac:dyDescent="0.3"/>
  <cols>
    <col min="1" max="5" width="22" customWidth="1"/>
    <col min="7" max="8" width="18" customWidth="1"/>
  </cols>
  <sheetData>
    <row r="1" spans="1:8" ht="30" customHeight="1" x14ac:dyDescent="0.3">
      <c r="A1" s="14" t="s">
        <v>636</v>
      </c>
      <c r="B1" s="14"/>
      <c r="C1" s="14"/>
      <c r="D1" s="14"/>
      <c r="E1" s="14"/>
      <c r="F1" s="14"/>
    </row>
    <row r="2" spans="1:8" ht="21.75" customHeight="1" x14ac:dyDescent="0.3">
      <c r="A2" s="15" t="s">
        <v>637</v>
      </c>
      <c r="B2" s="15" t="s">
        <v>6</v>
      </c>
      <c r="C2" s="15" t="s">
        <v>7</v>
      </c>
      <c r="D2" s="15" t="s">
        <v>9</v>
      </c>
      <c r="E2" s="15" t="s">
        <v>8</v>
      </c>
      <c r="G2" s="24" t="s">
        <v>638</v>
      </c>
    </row>
    <row r="3" spans="1:8" x14ac:dyDescent="0.3">
      <c r="A3" s="48" t="s">
        <v>639</v>
      </c>
      <c r="B3" s="27">
        <f>COUNTA(Raw_Data!F3:F502)</f>
        <v>500</v>
      </c>
      <c r="C3" s="27">
        <f>COUNTA(Raw_Data!G3:G502)</f>
        <v>500</v>
      </c>
      <c r="D3" s="45">
        <f>COUNTA(Raw_Data!I3:I502)</f>
        <v>500</v>
      </c>
      <c r="E3" s="45">
        <f>COUNTA(Raw_Data!H3:H502)</f>
        <v>500</v>
      </c>
      <c r="G3" t="s">
        <v>620</v>
      </c>
      <c r="H3" t="s">
        <v>640</v>
      </c>
    </row>
    <row r="4" spans="1:8" x14ac:dyDescent="0.3">
      <c r="A4" s="49" t="s">
        <v>641</v>
      </c>
      <c r="B4" s="50">
        <f>AVERAGE(Raw_Data!F3:F502)</f>
        <v>2672.0173599999994</v>
      </c>
      <c r="C4" s="50">
        <f>AVERAGE(Raw_Data!G3:G502)</f>
        <v>497.31146000000007</v>
      </c>
      <c r="D4" s="47">
        <f>AVERAGE(Raw_Data!I3:I502)</f>
        <v>10.648</v>
      </c>
      <c r="E4" s="51">
        <f>AVERAGE(Raw_Data!H3:H502)</f>
        <v>0.15429999999999996</v>
      </c>
      <c r="G4" t="s">
        <v>641</v>
      </c>
      <c r="H4" s="31">
        <f>B4</f>
        <v>2672.0173599999994</v>
      </c>
    </row>
    <row r="5" spans="1:8" x14ac:dyDescent="0.3">
      <c r="A5" s="48" t="s">
        <v>642</v>
      </c>
      <c r="B5" s="27">
        <f>MEDIAN(Raw_Data!F3:F502)</f>
        <v>2653.0050000000001</v>
      </c>
      <c r="C5" s="27">
        <f>MEDIAN(Raw_Data!G3:G502)</f>
        <v>430.89</v>
      </c>
      <c r="D5" s="45">
        <f>MEDIAN(Raw_Data!I3:I502)</f>
        <v>11</v>
      </c>
      <c r="E5" s="45">
        <f>MEDIAN(Raw_Data!H3:H502)</f>
        <v>0.15</v>
      </c>
      <c r="G5" t="s">
        <v>642</v>
      </c>
      <c r="H5" s="31">
        <f>B5</f>
        <v>2653.0050000000001</v>
      </c>
    </row>
    <row r="6" spans="1:8" x14ac:dyDescent="0.3">
      <c r="A6" s="49" t="s">
        <v>643</v>
      </c>
      <c r="B6" s="50">
        <f>MODE(Raw_Data!F3:F502)</f>
        <v>3322.59</v>
      </c>
      <c r="C6" s="50">
        <f>MODE(Raw_Data!G3:G502)</f>
        <v>210.74</v>
      </c>
      <c r="D6" s="47">
        <f>MODE(Raw_Data!I3:I502)</f>
        <v>12</v>
      </c>
      <c r="E6" s="47">
        <f>MODE(Raw_Data!H3:H502)</f>
        <v>0.15</v>
      </c>
      <c r="G6" t="s">
        <v>643</v>
      </c>
      <c r="H6" s="31">
        <f>B6</f>
        <v>3322.59</v>
      </c>
    </row>
    <row r="7" spans="1:8" x14ac:dyDescent="0.3">
      <c r="A7" s="48" t="s">
        <v>644</v>
      </c>
      <c r="B7" s="27">
        <f>STDEV(Raw_Data!F3:F502)</f>
        <v>1348.4608429159503</v>
      </c>
      <c r="C7" s="27">
        <f>STDEV(Raw_Data!G3:G502)</f>
        <v>312.23917010709386</v>
      </c>
      <c r="D7" s="45">
        <f>STDEV(Raw_Data!I3:I502)</f>
        <v>5.6575712301701424</v>
      </c>
      <c r="E7" s="45">
        <f>STDEV(Raw_Data!H3:H502)</f>
        <v>6.9470586039339366E-2</v>
      </c>
      <c r="G7" t="s">
        <v>645</v>
      </c>
      <c r="H7" s="31">
        <f>B9</f>
        <v>211.87</v>
      </c>
    </row>
    <row r="8" spans="1:8" x14ac:dyDescent="0.3">
      <c r="A8" s="49" t="s">
        <v>646</v>
      </c>
      <c r="B8" s="50">
        <f>VAR(Raw_Data!F3:F502)</f>
        <v>1818346.6448775954</v>
      </c>
      <c r="C8" s="50">
        <f>VAR(Raw_Data!G3:G502)</f>
        <v>97493.2993491667</v>
      </c>
      <c r="D8" s="47">
        <f>VAR(Raw_Data!I3:I502)</f>
        <v>32.008112224448901</v>
      </c>
      <c r="E8" s="47">
        <f>VAR(Raw_Data!H3:H502)</f>
        <v>4.826162324649253E-3</v>
      </c>
      <c r="G8" t="s">
        <v>647</v>
      </c>
      <c r="H8" s="31">
        <f>B10</f>
        <v>4999.5600000000004</v>
      </c>
    </row>
    <row r="9" spans="1:8" x14ac:dyDescent="0.3">
      <c r="A9" s="48" t="s">
        <v>648</v>
      </c>
      <c r="B9" s="27">
        <f>MIN(Raw_Data!F3:F502)</f>
        <v>211.87</v>
      </c>
      <c r="C9" s="27">
        <f>MIN(Raw_Data!G3:G502)</f>
        <v>26.4</v>
      </c>
      <c r="D9" s="45">
        <f>MIN(Raw_Data!I3:I502)</f>
        <v>1</v>
      </c>
      <c r="E9" s="52">
        <f>MIN(Raw_Data!H3:H502)</f>
        <v>0.05</v>
      </c>
      <c r="G9" t="s">
        <v>649</v>
      </c>
      <c r="H9" s="31">
        <f>B7</f>
        <v>1348.4608429159503</v>
      </c>
    </row>
    <row r="10" spans="1:8" x14ac:dyDescent="0.3">
      <c r="A10" s="49" t="s">
        <v>650</v>
      </c>
      <c r="B10" s="50">
        <f>MAX(Raw_Data!F3:F502)</f>
        <v>4999.5600000000004</v>
      </c>
      <c r="C10" s="50">
        <f>MAX(Raw_Data!G3:G502)</f>
        <v>1453.24</v>
      </c>
      <c r="D10" s="47">
        <f>MAX(Raw_Data!I3:I502)</f>
        <v>20</v>
      </c>
      <c r="E10" s="51">
        <f>MAX(Raw_Data!H3:H502)</f>
        <v>0.25</v>
      </c>
    </row>
    <row r="11" spans="1:8" x14ac:dyDescent="0.3">
      <c r="A11" s="48" t="s">
        <v>651</v>
      </c>
      <c r="B11" s="27">
        <f>MAX(Raw_Data!F3:F502)-MIN(Raw_Data!F3:F502)</f>
        <v>4787.6900000000005</v>
      </c>
      <c r="C11" s="27">
        <f>MAX(Raw_Data!G3:G502)-MIN(Raw_Data!G3:G502)</f>
        <v>1426.84</v>
      </c>
      <c r="D11" s="45">
        <f>MAX(Raw_Data!I3:I502)-MIN(Raw_Data!I3:I502)</f>
        <v>19</v>
      </c>
      <c r="E11" s="52">
        <f>MAX(Raw_Data!H3:H502)-MIN(Raw_Data!H3:H502)</f>
        <v>0.2</v>
      </c>
    </row>
    <row r="12" spans="1:8" x14ac:dyDescent="0.3">
      <c r="A12" s="49" t="s">
        <v>652</v>
      </c>
      <c r="B12" s="50">
        <f>SUM(Raw_Data!F3:F502)</f>
        <v>1336008.6799999997</v>
      </c>
      <c r="C12" s="50">
        <f>SUM(Raw_Data!G3:G502)</f>
        <v>248655.73000000004</v>
      </c>
      <c r="D12" s="47">
        <f>SUM(Raw_Data!I3:I502)</f>
        <v>5324</v>
      </c>
      <c r="E12" s="51">
        <f>SUM(Raw_Data!H3:H502)</f>
        <v>77.149999999999977</v>
      </c>
    </row>
    <row r="13" spans="1:8" x14ac:dyDescent="0.3">
      <c r="A13" s="48" t="s">
        <v>653</v>
      </c>
      <c r="B13" s="45">
        <f>SKEW(Raw_Data!F3:F502)</f>
        <v>-5.4627757020491781E-2</v>
      </c>
      <c r="C13" s="45">
        <f>SKEW(Raw_Data!G3:G502)</f>
        <v>0.7614990781229598</v>
      </c>
      <c r="D13" s="45">
        <f>SKEW(Raw_Data!I3:I502)</f>
        <v>-3.1507349534507283E-2</v>
      </c>
      <c r="E13" s="45">
        <f>SKEW(Raw_Data!H3:H502)</f>
        <v>-4.1895751355116896E-2</v>
      </c>
    </row>
    <row r="14" spans="1:8" x14ac:dyDescent="0.3">
      <c r="A14" s="49" t="s">
        <v>654</v>
      </c>
      <c r="B14" s="47">
        <f>KURT(Raw_Data!F3:F502)</f>
        <v>-1.1089663900242313</v>
      </c>
      <c r="C14" s="47">
        <f>KURT(Raw_Data!G3:G502)</f>
        <v>6.1836087117272509E-2</v>
      </c>
      <c r="D14" s="47">
        <f>KURT(Raw_Data!I3:I502)</f>
        <v>-1.1802389501374024</v>
      </c>
      <c r="E14" s="47">
        <f>KURT(Raw_Data!H3:H502)</f>
        <v>-1.2441752297046751</v>
      </c>
    </row>
    <row r="15" spans="1:8" x14ac:dyDescent="0.3">
      <c r="A15" s="48" t="s">
        <v>655</v>
      </c>
      <c r="B15" s="45">
        <f>PERCENTILE(Raw_Data!F3:F502,0.25)</f>
        <v>1577.6375</v>
      </c>
      <c r="C15" s="45">
        <f>PERCENTILE(Raw_Data!G3:G502,0.25)</f>
        <v>254.27500000000001</v>
      </c>
      <c r="D15" s="45">
        <f>PERCENTILE(Raw_Data!I3:I502,0.25)</f>
        <v>6</v>
      </c>
      <c r="E15" s="45">
        <f>PERCENTILE(Raw_Data!H3:H502,0.25)</f>
        <v>0.1</v>
      </c>
    </row>
    <row r="16" spans="1:8" x14ac:dyDescent="0.3">
      <c r="A16" s="49" t="s">
        <v>656</v>
      </c>
      <c r="B16" s="47">
        <f>PERCENTILE(Raw_Data!F3:F502,0.75)</f>
        <v>3836.0174999999999</v>
      </c>
      <c r="C16" s="47">
        <f>PERCENTILE(Raw_Data!G3:G502,0.75)</f>
        <v>703.56</v>
      </c>
      <c r="D16" s="47">
        <f>PERCENTILE(Raw_Data!I3:I502,0.75)</f>
        <v>16</v>
      </c>
      <c r="E16" s="47">
        <f>PERCENTILE(Raw_Data!H3:H502,0.75)</f>
        <v>0.2</v>
      </c>
    </row>
    <row r="17" spans="1:5" x14ac:dyDescent="0.3">
      <c r="A17" s="48" t="s">
        <v>657</v>
      </c>
      <c r="B17" s="45">
        <f>PERCENTILE(Raw_Data!F3:F502,0.75)-PERCENTILE(Raw_Data!F3:F502,0.25)</f>
        <v>2258.38</v>
      </c>
      <c r="C17" s="45">
        <f>PERCENTILE(Raw_Data!G3:G502,0.75)-PERCENTILE(Raw_Data!G3:G502,0.25)</f>
        <v>449.28499999999997</v>
      </c>
      <c r="D17" s="45">
        <f>PERCENTILE(Raw_Data!I3:I502,0.75)-PERCENTILE(Raw_Data!I3:I502,0.25)</f>
        <v>10</v>
      </c>
      <c r="E17" s="45">
        <f>PERCENTILE(Raw_Data!H3:H502,0.75)-PERCENTILE(Raw_Data!H3:H502,0.25)</f>
        <v>0.1</v>
      </c>
    </row>
    <row r="18" spans="1:5" x14ac:dyDescent="0.3">
      <c r="A18" s="49" t="s">
        <v>658</v>
      </c>
      <c r="B18" s="51">
        <f>STDEV(Raw_Data!F3:F502)/AVERAGE(Raw_Data!F3:F502)</f>
        <v>0.50466021033484254</v>
      </c>
      <c r="C18" s="51">
        <f>STDEV(Raw_Data!G3:G502)/AVERAGE(Raw_Data!G3:G502)</f>
        <v>0.62785436335429268</v>
      </c>
      <c r="D18" s="47">
        <f>STDEV(Raw_Data!I3:I502)/AVERAGE(Raw_Data!I3:I502)</f>
        <v>0.53132712529772186</v>
      </c>
      <c r="E18" s="51">
        <f>STDEV(Raw_Data!H3:H502)/AVERAGE(Raw_Data!H3:H502)</f>
        <v>0.45023062890044968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H15"/>
  <sheetViews>
    <sheetView zoomScaleNormal="100" workbookViewId="0">
      <selection sqref="A1:H1"/>
    </sheetView>
  </sheetViews>
  <sheetFormatPr defaultColWidth="8.6640625" defaultRowHeight="14.4" x14ac:dyDescent="0.3"/>
  <cols>
    <col min="1" max="7" width="18" customWidth="1"/>
  </cols>
  <sheetData>
    <row r="1" spans="1:8" ht="30" customHeight="1" x14ac:dyDescent="0.3">
      <c r="A1" s="14" t="s">
        <v>659</v>
      </c>
      <c r="B1" s="14"/>
      <c r="C1" s="14"/>
      <c r="D1" s="14"/>
      <c r="E1" s="14"/>
      <c r="F1" s="14"/>
      <c r="G1" s="14"/>
      <c r="H1" s="14"/>
    </row>
    <row r="2" spans="1:8" ht="21.75" customHeight="1" x14ac:dyDescent="0.3">
      <c r="A2" s="33" t="s">
        <v>11</v>
      </c>
      <c r="B2" s="33" t="s">
        <v>660</v>
      </c>
      <c r="C2" s="33" t="s">
        <v>661</v>
      </c>
      <c r="D2" s="33" t="s">
        <v>662</v>
      </c>
      <c r="E2" s="25" t="s">
        <v>663</v>
      </c>
      <c r="F2" s="25" t="s">
        <v>664</v>
      </c>
      <c r="G2" s="25" t="s">
        <v>665</v>
      </c>
    </row>
    <row r="3" spans="1:8" x14ac:dyDescent="0.3">
      <c r="A3" s="53" t="s">
        <v>666</v>
      </c>
      <c r="B3" s="43">
        <v>47340.49</v>
      </c>
      <c r="C3" s="43">
        <v>48891.14</v>
      </c>
      <c r="D3" s="43">
        <v>32475.93</v>
      </c>
      <c r="E3" s="54">
        <f t="shared" ref="E3:E14" si="0">IF(B3&gt;0,(C3-B3)/B3,0)</f>
        <v>3.2755258764748774E-2</v>
      </c>
      <c r="F3" s="54">
        <f t="shared" ref="F3:F14" si="1">IF(C3&gt;0,(D3-C3)/C3,0)</f>
        <v>-0.33575019932036765</v>
      </c>
      <c r="G3" s="55" t="str">
        <f t="shared" ref="G3:G14" si="2">IF(F3&gt;0,"▲ Up","▼ Down")</f>
        <v>▼ Down</v>
      </c>
    </row>
    <row r="4" spans="1:8" x14ac:dyDescent="0.3">
      <c r="A4" s="56" t="s">
        <v>667</v>
      </c>
      <c r="B4" s="57">
        <v>31167.52</v>
      </c>
      <c r="C4" s="57">
        <v>33621.040000000001</v>
      </c>
      <c r="D4" s="57">
        <v>39210.959999999999</v>
      </c>
      <c r="E4" s="58">
        <f t="shared" si="0"/>
        <v>7.8720411505310672E-2</v>
      </c>
      <c r="F4" s="58">
        <f t="shared" si="1"/>
        <v>0.16626255463840495</v>
      </c>
      <c r="G4" s="59" t="str">
        <f t="shared" si="2"/>
        <v>▲ Up</v>
      </c>
    </row>
    <row r="5" spans="1:8" x14ac:dyDescent="0.3">
      <c r="A5" s="53" t="s">
        <v>668</v>
      </c>
      <c r="B5" s="43">
        <v>34374.06</v>
      </c>
      <c r="C5" s="43">
        <v>27576.1</v>
      </c>
      <c r="D5" s="43">
        <v>17192.900000000001</v>
      </c>
      <c r="E5" s="54">
        <f t="shared" si="0"/>
        <v>-0.19776424431679004</v>
      </c>
      <c r="F5" s="54">
        <f t="shared" si="1"/>
        <v>-0.37652895079434717</v>
      </c>
      <c r="G5" s="55" t="str">
        <f t="shared" si="2"/>
        <v>▼ Down</v>
      </c>
    </row>
    <row r="6" spans="1:8" x14ac:dyDescent="0.3">
      <c r="A6" s="56" t="s">
        <v>669</v>
      </c>
      <c r="B6" s="57">
        <v>53416.03</v>
      </c>
      <c r="C6" s="57">
        <v>43465.7</v>
      </c>
      <c r="D6" s="57">
        <v>25419.33</v>
      </c>
      <c r="E6" s="58">
        <f t="shared" si="0"/>
        <v>-0.18627984895170985</v>
      </c>
      <c r="F6" s="58">
        <f t="shared" si="1"/>
        <v>-0.4151864573675334</v>
      </c>
      <c r="G6" s="59" t="str">
        <f t="shared" si="2"/>
        <v>▼ Down</v>
      </c>
    </row>
    <row r="7" spans="1:8" x14ac:dyDescent="0.3">
      <c r="A7" s="53" t="s">
        <v>670</v>
      </c>
      <c r="B7" s="43">
        <v>42433.14</v>
      </c>
      <c r="C7" s="43">
        <v>34882.81</v>
      </c>
      <c r="D7" s="43">
        <v>41888.120000000003</v>
      </c>
      <c r="E7" s="54">
        <f t="shared" si="0"/>
        <v>-0.17793474628556835</v>
      </c>
      <c r="F7" s="54">
        <f t="shared" si="1"/>
        <v>0.2008241308541372</v>
      </c>
      <c r="G7" s="55" t="str">
        <f t="shared" si="2"/>
        <v>▲ Up</v>
      </c>
    </row>
    <row r="8" spans="1:8" x14ac:dyDescent="0.3">
      <c r="A8" s="56" t="s">
        <v>671</v>
      </c>
      <c r="B8" s="57">
        <v>17131.099999999999</v>
      </c>
      <c r="C8" s="57">
        <v>26596.2</v>
      </c>
      <c r="D8" s="57">
        <v>31294.240000000002</v>
      </c>
      <c r="E8" s="58">
        <f t="shared" si="0"/>
        <v>0.55250976294575382</v>
      </c>
      <c r="F8" s="58">
        <f t="shared" si="1"/>
        <v>0.1766432798670487</v>
      </c>
      <c r="G8" s="59" t="str">
        <f t="shared" si="2"/>
        <v>▲ Up</v>
      </c>
    </row>
    <row r="9" spans="1:8" x14ac:dyDescent="0.3">
      <c r="A9" s="53" t="s">
        <v>672</v>
      </c>
      <c r="B9" s="43">
        <v>33788.67</v>
      </c>
      <c r="C9" s="43">
        <v>44800.7</v>
      </c>
      <c r="D9" s="43">
        <v>37698</v>
      </c>
      <c r="E9" s="54">
        <f t="shared" si="0"/>
        <v>0.32590895113657919</v>
      </c>
      <c r="F9" s="54">
        <f t="shared" si="1"/>
        <v>-0.15853993352782428</v>
      </c>
      <c r="G9" s="55" t="str">
        <f t="shared" si="2"/>
        <v>▼ Down</v>
      </c>
    </row>
    <row r="10" spans="1:8" x14ac:dyDescent="0.3">
      <c r="A10" s="56" t="s">
        <v>673</v>
      </c>
      <c r="B10" s="57">
        <v>41873.910000000003</v>
      </c>
      <c r="C10" s="57">
        <v>41788.120000000003</v>
      </c>
      <c r="D10" s="57">
        <v>39044.86</v>
      </c>
      <c r="E10" s="58">
        <f t="shared" si="0"/>
        <v>-2.0487697470811983E-3</v>
      </c>
      <c r="F10" s="58">
        <f t="shared" si="1"/>
        <v>-6.5646887201434329E-2</v>
      </c>
      <c r="G10" s="59" t="str">
        <f t="shared" si="2"/>
        <v>▼ Down</v>
      </c>
    </row>
    <row r="11" spans="1:8" x14ac:dyDescent="0.3">
      <c r="A11" s="53" t="s">
        <v>674</v>
      </c>
      <c r="B11" s="43">
        <v>33346.89</v>
      </c>
      <c r="C11" s="43">
        <v>32785.199999999997</v>
      </c>
      <c r="D11" s="43">
        <v>55217.89</v>
      </c>
      <c r="E11" s="54">
        <f t="shared" si="0"/>
        <v>-1.684384960636516E-2</v>
      </c>
      <c r="F11" s="54">
        <f t="shared" si="1"/>
        <v>0.68423221453582728</v>
      </c>
      <c r="G11" s="55" t="str">
        <f t="shared" si="2"/>
        <v>▲ Up</v>
      </c>
    </row>
    <row r="12" spans="1:8" x14ac:dyDescent="0.3">
      <c r="A12" s="56" t="s">
        <v>675</v>
      </c>
      <c r="B12" s="57">
        <v>32266.13</v>
      </c>
      <c r="C12" s="57">
        <v>39533.800000000003</v>
      </c>
      <c r="D12" s="57">
        <v>36740.53</v>
      </c>
      <c r="E12" s="58">
        <f t="shared" si="0"/>
        <v>0.22524145287953659</v>
      </c>
      <c r="F12" s="58">
        <f t="shared" si="1"/>
        <v>-7.0655236784726086E-2</v>
      </c>
      <c r="G12" s="59" t="str">
        <f t="shared" si="2"/>
        <v>▼ Down</v>
      </c>
    </row>
    <row r="13" spans="1:8" x14ac:dyDescent="0.3">
      <c r="A13" s="53" t="s">
        <v>676</v>
      </c>
      <c r="B13" s="43">
        <v>50462.85</v>
      </c>
      <c r="C13" s="43">
        <v>36724.089999999997</v>
      </c>
      <c r="D13" s="43">
        <v>34861.589999999997</v>
      </c>
      <c r="E13" s="54">
        <f t="shared" si="0"/>
        <v>-0.27225493605692114</v>
      </c>
      <c r="F13" s="54">
        <f t="shared" si="1"/>
        <v>-5.0716028634065546E-2</v>
      </c>
      <c r="G13" s="55" t="str">
        <f t="shared" si="2"/>
        <v>▼ Down</v>
      </c>
    </row>
    <row r="14" spans="1:8" x14ac:dyDescent="0.3">
      <c r="A14" s="56" t="s">
        <v>677</v>
      </c>
      <c r="B14" s="57">
        <v>36713.99</v>
      </c>
      <c r="C14" s="57">
        <v>31185.89</v>
      </c>
      <c r="D14" s="57">
        <v>48798.76</v>
      </c>
      <c r="E14" s="58">
        <f t="shared" si="0"/>
        <v>-0.15057202989922913</v>
      </c>
      <c r="F14" s="58">
        <f t="shared" si="1"/>
        <v>0.56477047793088486</v>
      </c>
      <c r="G14" s="59" t="str">
        <f t="shared" si="2"/>
        <v>▲ Up</v>
      </c>
    </row>
    <row r="15" spans="1:8" x14ac:dyDescent="0.3">
      <c r="A15" s="60" t="s">
        <v>678</v>
      </c>
      <c r="B15" s="61">
        <f>SUM(B3:B14)</f>
        <v>454314.78</v>
      </c>
      <c r="C15" s="61">
        <f>SUM(C3:C14)</f>
        <v>441850.79000000004</v>
      </c>
      <c r="D15" s="61">
        <f>SUM(D3:D14)</f>
        <v>439843.11</v>
      </c>
      <c r="E15" s="62">
        <f>SUM(E3:E14)</f>
        <v>0.21143741236826424</v>
      </c>
      <c r="F15" s="62">
        <f>SUM(F3:F14)</f>
        <v>0.31970896419600459</v>
      </c>
    </row>
  </sheetData>
  <mergeCells count="1">
    <mergeCell ref="A1:H1"/>
  </mergeCells>
  <conditionalFormatting sqref="E3:F14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G3:G14">
    <cfRule type="cellIs" dxfId="1" priority="3" operator="equal">
      <formula>"▲ Up"</formula>
    </cfRule>
    <cfRule type="cellIs" dxfId="0" priority="4" operator="equal">
      <formula>"▼ Down"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D5"/>
  <sheetViews>
    <sheetView zoomScaleNormal="100" workbookViewId="0">
      <selection activeCell="B12" sqref="B12"/>
    </sheetView>
  </sheetViews>
  <sheetFormatPr defaultColWidth="8.6640625" defaultRowHeight="14.4" x14ac:dyDescent="0.3"/>
  <cols>
    <col min="1" max="1" width="22" customWidth="1"/>
    <col min="2" max="2" width="30" customWidth="1"/>
    <col min="3" max="3" width="35" customWidth="1"/>
  </cols>
  <sheetData>
    <row r="1" spans="1:4" ht="30" customHeight="1" x14ac:dyDescent="0.3">
      <c r="A1" s="14" t="s">
        <v>679</v>
      </c>
      <c r="B1" s="14"/>
      <c r="C1" s="14"/>
      <c r="D1" s="14"/>
    </row>
    <row r="2" spans="1:4" x14ac:dyDescent="0.3">
      <c r="A2" s="15" t="s">
        <v>680</v>
      </c>
      <c r="B2" s="15" t="s">
        <v>621</v>
      </c>
      <c r="C2" s="15" t="s">
        <v>681</v>
      </c>
    </row>
    <row r="3" spans="1:4" x14ac:dyDescent="0.3">
      <c r="A3" s="49" t="s">
        <v>683</v>
      </c>
      <c r="B3" s="66">
        <f>SUM(Raw_Data!G3:G502)</f>
        <v>248655.73000000004</v>
      </c>
      <c r="C3" s="64" t="s">
        <v>682</v>
      </c>
    </row>
    <row r="4" spans="1:4" x14ac:dyDescent="0.3">
      <c r="A4" s="48" t="s">
        <v>684</v>
      </c>
      <c r="B4" s="67">
        <f>AVERAGE(Raw_Data!H3:H502)</f>
        <v>0.15429999999999996</v>
      </c>
      <c r="C4" s="63" t="s">
        <v>685</v>
      </c>
    </row>
    <row r="5" spans="1:4" x14ac:dyDescent="0.3">
      <c r="A5" s="49" t="s">
        <v>686</v>
      </c>
      <c r="B5" s="65" t="str">
        <f>TEXT(MIN(Raw_Data!J3:J502),"MMM-YYYY")&amp;" to "&amp;TEXT(MAX(Raw_Data!J3:J502),"MMM-YYYY")</f>
        <v>Jan-2022 to Dec-2024</v>
      </c>
      <c r="C5" s="64" t="s">
        <v>687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H29"/>
  <sheetViews>
    <sheetView zoomScaleNormal="100" workbookViewId="0">
      <selection activeCell="B19" sqref="B19"/>
    </sheetView>
  </sheetViews>
  <sheetFormatPr defaultColWidth="8.6640625" defaultRowHeight="14.4" x14ac:dyDescent="0.3"/>
  <cols>
    <col min="1" max="1" width="6" customWidth="1"/>
    <col min="2" max="2" width="22" customWidth="1"/>
    <col min="3" max="4" width="14" customWidth="1"/>
    <col min="5" max="5" width="8" customWidth="1"/>
    <col min="6" max="6" width="14" customWidth="1"/>
    <col min="7" max="8" width="12" customWidth="1"/>
  </cols>
  <sheetData>
    <row r="1" spans="1:8" ht="30" customHeight="1" x14ac:dyDescent="0.3">
      <c r="A1" s="14" t="s">
        <v>688</v>
      </c>
      <c r="B1" s="14"/>
      <c r="C1" s="14"/>
      <c r="D1" s="14"/>
      <c r="E1" s="14"/>
      <c r="F1" s="14"/>
      <c r="G1" s="14"/>
    </row>
    <row r="2" spans="1:8" ht="21.75" customHeight="1" x14ac:dyDescent="0.3">
      <c r="A2" s="68" t="s">
        <v>591</v>
      </c>
      <c r="B2" s="68" t="s">
        <v>2</v>
      </c>
      <c r="C2" s="68" t="s">
        <v>590</v>
      </c>
      <c r="D2" s="68" t="s">
        <v>683</v>
      </c>
      <c r="E2" s="68" t="s">
        <v>689</v>
      </c>
      <c r="F2" s="68" t="s">
        <v>690</v>
      </c>
      <c r="G2" s="68" t="s">
        <v>691</v>
      </c>
      <c r="H2" s="68" t="s">
        <v>692</v>
      </c>
    </row>
    <row r="3" spans="1:8" x14ac:dyDescent="0.3">
      <c r="A3" s="69">
        <v>1</v>
      </c>
      <c r="B3" s="70" t="s">
        <v>24</v>
      </c>
      <c r="C3" s="71">
        <v>59481.52</v>
      </c>
      <c r="D3" s="71">
        <v>11041.64</v>
      </c>
      <c r="E3" s="69">
        <v>22</v>
      </c>
      <c r="F3" s="71">
        <v>2703.71</v>
      </c>
      <c r="G3" s="72">
        <v>4.4499999999999998E-2</v>
      </c>
      <c r="H3" s="69" t="s">
        <v>693</v>
      </c>
    </row>
    <row r="4" spans="1:8" x14ac:dyDescent="0.3">
      <c r="A4" s="69">
        <v>2</v>
      </c>
      <c r="B4" s="70" t="s">
        <v>46</v>
      </c>
      <c r="C4" s="71">
        <v>53000.46</v>
      </c>
      <c r="D4" s="71">
        <v>9140.51</v>
      </c>
      <c r="E4" s="69">
        <v>20</v>
      </c>
      <c r="F4" s="71">
        <v>2650.02</v>
      </c>
      <c r="G4" s="72">
        <v>3.9699999999999999E-2</v>
      </c>
      <c r="H4" s="69" t="s">
        <v>693</v>
      </c>
    </row>
    <row r="5" spans="1:8" x14ac:dyDescent="0.3">
      <c r="A5" s="69">
        <v>3</v>
      </c>
      <c r="B5" s="70" t="s">
        <v>98</v>
      </c>
      <c r="C5" s="71">
        <v>52227.11</v>
      </c>
      <c r="D5" s="71">
        <v>10496.43</v>
      </c>
      <c r="E5" s="69">
        <v>20</v>
      </c>
      <c r="F5" s="71">
        <v>2611.36</v>
      </c>
      <c r="G5" s="72">
        <v>3.9100000000000003E-2</v>
      </c>
      <c r="H5" s="69" t="s">
        <v>693</v>
      </c>
    </row>
    <row r="6" spans="1:8" x14ac:dyDescent="0.3">
      <c r="A6" s="73">
        <v>4</v>
      </c>
      <c r="B6" s="74" t="s">
        <v>117</v>
      </c>
      <c r="C6" s="75">
        <v>48286.14</v>
      </c>
      <c r="D6" s="75">
        <v>10033.61</v>
      </c>
      <c r="E6" s="73">
        <v>15</v>
      </c>
      <c r="F6" s="75">
        <v>3219.08</v>
      </c>
      <c r="G6" s="76">
        <v>3.61E-2</v>
      </c>
      <c r="H6" s="73" t="s">
        <v>694</v>
      </c>
    </row>
    <row r="7" spans="1:8" x14ac:dyDescent="0.3">
      <c r="A7" s="73">
        <v>5</v>
      </c>
      <c r="B7" s="74" t="s">
        <v>52</v>
      </c>
      <c r="C7" s="75">
        <v>42300.959999999999</v>
      </c>
      <c r="D7" s="75">
        <v>6934.23</v>
      </c>
      <c r="E7" s="73">
        <v>18</v>
      </c>
      <c r="F7" s="75">
        <v>2350.0500000000002</v>
      </c>
      <c r="G7" s="76">
        <v>3.1699999999999999E-2</v>
      </c>
      <c r="H7" s="73" t="s">
        <v>694</v>
      </c>
    </row>
    <row r="8" spans="1:8" x14ac:dyDescent="0.3">
      <c r="A8" s="73">
        <v>6</v>
      </c>
      <c r="B8" s="74" t="s">
        <v>63</v>
      </c>
      <c r="C8" s="75">
        <v>41682.15</v>
      </c>
      <c r="D8" s="75">
        <v>6652.88</v>
      </c>
      <c r="E8" s="73">
        <v>14</v>
      </c>
      <c r="F8" s="75">
        <v>2977.3</v>
      </c>
      <c r="G8" s="76">
        <v>3.1199999999999999E-2</v>
      </c>
      <c r="H8" s="73" t="s">
        <v>694</v>
      </c>
    </row>
    <row r="9" spans="1:8" x14ac:dyDescent="0.3">
      <c r="A9" s="73">
        <v>7</v>
      </c>
      <c r="B9" s="74" t="s">
        <v>40</v>
      </c>
      <c r="C9" s="75">
        <v>41288.74</v>
      </c>
      <c r="D9" s="75">
        <v>8106.5</v>
      </c>
      <c r="E9" s="73">
        <v>12</v>
      </c>
      <c r="F9" s="75">
        <v>3440.73</v>
      </c>
      <c r="G9" s="76">
        <v>3.09E-2</v>
      </c>
      <c r="H9" s="73" t="s">
        <v>694</v>
      </c>
    </row>
    <row r="10" spans="1:8" x14ac:dyDescent="0.3">
      <c r="A10" s="73">
        <v>8</v>
      </c>
      <c r="B10" s="74" t="s">
        <v>14</v>
      </c>
      <c r="C10" s="75">
        <v>38642.879999999997</v>
      </c>
      <c r="D10" s="75">
        <v>7568.62</v>
      </c>
      <c r="E10" s="73">
        <v>14</v>
      </c>
      <c r="F10" s="75">
        <v>2760.21</v>
      </c>
      <c r="G10" s="76">
        <v>2.8899999999999999E-2</v>
      </c>
      <c r="H10" s="73" t="s">
        <v>694</v>
      </c>
    </row>
    <row r="11" spans="1:8" x14ac:dyDescent="0.3">
      <c r="A11" s="77">
        <v>9</v>
      </c>
      <c r="B11" s="78" t="s">
        <v>44</v>
      </c>
      <c r="C11" s="79">
        <v>38334.22</v>
      </c>
      <c r="D11" s="79">
        <v>6537.24</v>
      </c>
      <c r="E11" s="77">
        <v>15</v>
      </c>
      <c r="F11" s="79">
        <v>2555.61</v>
      </c>
      <c r="G11" s="80">
        <v>2.87E-2</v>
      </c>
      <c r="H11" s="77" t="s">
        <v>695</v>
      </c>
    </row>
    <row r="12" spans="1:8" x14ac:dyDescent="0.3">
      <c r="A12" s="77">
        <v>10</v>
      </c>
      <c r="B12" s="78" t="s">
        <v>69</v>
      </c>
      <c r="C12" s="79">
        <v>36052.53</v>
      </c>
      <c r="D12" s="79">
        <v>6782.54</v>
      </c>
      <c r="E12" s="77">
        <v>11</v>
      </c>
      <c r="F12" s="79">
        <v>3277.5</v>
      </c>
      <c r="G12" s="80">
        <v>2.7E-2</v>
      </c>
      <c r="H12" s="77" t="s">
        <v>695</v>
      </c>
    </row>
    <row r="13" spans="1:8" x14ac:dyDescent="0.3">
      <c r="A13" s="77">
        <v>11</v>
      </c>
      <c r="B13" s="78" t="s">
        <v>131</v>
      </c>
      <c r="C13" s="79">
        <v>35837.089999999997</v>
      </c>
      <c r="D13" s="79">
        <v>7668.49</v>
      </c>
      <c r="E13" s="77">
        <v>10</v>
      </c>
      <c r="F13" s="79">
        <v>3583.71</v>
      </c>
      <c r="G13" s="80">
        <v>2.6800000000000001E-2</v>
      </c>
      <c r="H13" s="77" t="s">
        <v>695</v>
      </c>
    </row>
    <row r="14" spans="1:8" x14ac:dyDescent="0.3">
      <c r="A14" s="77">
        <v>12</v>
      </c>
      <c r="B14" s="78" t="s">
        <v>114</v>
      </c>
      <c r="C14" s="79">
        <v>35804.080000000002</v>
      </c>
      <c r="D14" s="79">
        <v>6193.44</v>
      </c>
      <c r="E14" s="77">
        <v>13</v>
      </c>
      <c r="F14" s="79">
        <v>2754.16</v>
      </c>
      <c r="G14" s="80">
        <v>2.6800000000000001E-2</v>
      </c>
      <c r="H14" s="77" t="s">
        <v>695</v>
      </c>
    </row>
    <row r="15" spans="1:8" x14ac:dyDescent="0.3">
      <c r="A15" s="77">
        <v>13</v>
      </c>
      <c r="B15" s="78" t="s">
        <v>110</v>
      </c>
      <c r="C15" s="79">
        <v>33742.39</v>
      </c>
      <c r="D15" s="79">
        <v>6078.88</v>
      </c>
      <c r="E15" s="77">
        <v>12</v>
      </c>
      <c r="F15" s="79">
        <v>2811.87</v>
      </c>
      <c r="G15" s="80">
        <v>2.53E-2</v>
      </c>
      <c r="H15" s="77" t="s">
        <v>695</v>
      </c>
    </row>
    <row r="16" spans="1:8" x14ac:dyDescent="0.3">
      <c r="A16" s="77">
        <v>14</v>
      </c>
      <c r="B16" s="78" t="s">
        <v>101</v>
      </c>
      <c r="C16" s="79">
        <v>32301.82</v>
      </c>
      <c r="D16" s="79">
        <v>7184.12</v>
      </c>
      <c r="E16" s="77">
        <v>10</v>
      </c>
      <c r="F16" s="79">
        <v>3230.18</v>
      </c>
      <c r="G16" s="80">
        <v>2.4199999999999999E-2</v>
      </c>
      <c r="H16" s="77" t="s">
        <v>695</v>
      </c>
    </row>
    <row r="17" spans="1:8" x14ac:dyDescent="0.3">
      <c r="A17" s="77">
        <v>15</v>
      </c>
      <c r="B17" s="78" t="s">
        <v>145</v>
      </c>
      <c r="C17" s="79">
        <v>30343.87</v>
      </c>
      <c r="D17" s="79">
        <v>6026.95</v>
      </c>
      <c r="E17" s="77">
        <v>11</v>
      </c>
      <c r="F17" s="79">
        <v>2758.53</v>
      </c>
      <c r="G17" s="80">
        <v>2.2700000000000001E-2</v>
      </c>
      <c r="H17" s="77" t="s">
        <v>695</v>
      </c>
    </row>
    <row r="18" spans="1:8" x14ac:dyDescent="0.3">
      <c r="A18" s="81">
        <v>16</v>
      </c>
      <c r="B18" s="82" t="s">
        <v>37</v>
      </c>
      <c r="C18" s="83">
        <v>30191.59</v>
      </c>
      <c r="D18" s="83">
        <v>4749.47</v>
      </c>
      <c r="E18" s="81">
        <v>10</v>
      </c>
      <c r="F18" s="83">
        <v>3019.16</v>
      </c>
      <c r="G18" s="84">
        <v>2.2599999999999999E-2</v>
      </c>
      <c r="H18" s="81" t="s">
        <v>696</v>
      </c>
    </row>
    <row r="19" spans="1:8" x14ac:dyDescent="0.3">
      <c r="A19" s="81">
        <v>17</v>
      </c>
      <c r="B19" s="82" t="s">
        <v>33</v>
      </c>
      <c r="C19" s="83">
        <v>29795.759999999998</v>
      </c>
      <c r="D19" s="83">
        <v>6064.43</v>
      </c>
      <c r="E19" s="81">
        <v>12</v>
      </c>
      <c r="F19" s="83">
        <v>2482.98</v>
      </c>
      <c r="G19" s="84">
        <v>2.23E-2</v>
      </c>
      <c r="H19" s="81" t="s">
        <v>696</v>
      </c>
    </row>
    <row r="20" spans="1:8" x14ac:dyDescent="0.3">
      <c r="A20" s="81">
        <v>18</v>
      </c>
      <c r="B20" s="82" t="s">
        <v>125</v>
      </c>
      <c r="C20" s="83">
        <v>29757.68</v>
      </c>
      <c r="D20" s="83">
        <v>4955.7299999999996</v>
      </c>
      <c r="E20" s="81">
        <v>8</v>
      </c>
      <c r="F20" s="83">
        <v>3719.71</v>
      </c>
      <c r="G20" s="84">
        <v>2.23E-2</v>
      </c>
      <c r="H20" s="81" t="s">
        <v>696</v>
      </c>
    </row>
    <row r="21" spans="1:8" x14ac:dyDescent="0.3">
      <c r="A21" s="81">
        <v>19</v>
      </c>
      <c r="B21" s="82" t="s">
        <v>83</v>
      </c>
      <c r="C21" s="83">
        <v>28083.42</v>
      </c>
      <c r="D21" s="83">
        <v>4746.6099999999997</v>
      </c>
      <c r="E21" s="81">
        <v>9</v>
      </c>
      <c r="F21" s="83">
        <v>3120.38</v>
      </c>
      <c r="G21" s="84">
        <v>2.1000000000000001E-2</v>
      </c>
      <c r="H21" s="81" t="s">
        <v>696</v>
      </c>
    </row>
    <row r="22" spans="1:8" x14ac:dyDescent="0.3">
      <c r="A22" s="81">
        <v>20</v>
      </c>
      <c r="B22" s="82" t="s">
        <v>123</v>
      </c>
      <c r="C22" s="83">
        <v>27454.98</v>
      </c>
      <c r="D22" s="83">
        <v>5013.8900000000003</v>
      </c>
      <c r="E22" s="81">
        <v>10</v>
      </c>
      <c r="F22" s="83">
        <v>2745.5</v>
      </c>
      <c r="G22" s="84">
        <v>2.06E-2</v>
      </c>
      <c r="H22" s="81" t="s">
        <v>696</v>
      </c>
    </row>
    <row r="25" spans="1:8" ht="15.6" x14ac:dyDescent="0.3">
      <c r="A25" s="13" t="s">
        <v>697</v>
      </c>
      <c r="B25" s="13"/>
      <c r="C25" s="13"/>
      <c r="D25" s="13"/>
    </row>
    <row r="26" spans="1:8" x14ac:dyDescent="0.3">
      <c r="A26" s="85" t="s">
        <v>698</v>
      </c>
      <c r="B26" s="86" t="s">
        <v>24</v>
      </c>
    </row>
    <row r="27" spans="1:8" x14ac:dyDescent="0.3">
      <c r="A27" s="85" t="s">
        <v>699</v>
      </c>
      <c r="B27" s="29">
        <f>IFERROR(INDEX(C3:C22,MATCH(B26,B3:B22,0)),"Not Found")</f>
        <v>59481.52</v>
      </c>
    </row>
    <row r="28" spans="1:8" x14ac:dyDescent="0.3">
      <c r="A28" s="85" t="s">
        <v>700</v>
      </c>
      <c r="B28" s="29">
        <f>IFERROR(INDEX(D3:D22,MATCH(B26,B3:B22,0)),"Not Found")</f>
        <v>11041.64</v>
      </c>
    </row>
    <row r="29" spans="1:8" x14ac:dyDescent="0.3">
      <c r="A29" s="85" t="s">
        <v>701</v>
      </c>
      <c r="B29" s="28" t="str">
        <f>IFERROR(INDEX(H3:H22,MATCH(B26,B3:B22,0)),"Not Found")</f>
        <v>Platinum</v>
      </c>
    </row>
  </sheetData>
  <mergeCells count="2">
    <mergeCell ref="A1:G1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N27"/>
  <sheetViews>
    <sheetView zoomScaleNormal="100" workbookViewId="0">
      <selection sqref="A1:L1"/>
    </sheetView>
  </sheetViews>
  <sheetFormatPr defaultColWidth="8.6640625" defaultRowHeight="14.4" x14ac:dyDescent="0.3"/>
  <cols>
    <col min="1" max="14" width="16" customWidth="1"/>
  </cols>
  <sheetData>
    <row r="1" spans="1:14" ht="30" customHeight="1" x14ac:dyDescent="0.3">
      <c r="A1" s="14" t="s">
        <v>702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4" ht="15" customHeight="1" x14ac:dyDescent="0.3">
      <c r="A3" s="10" t="s">
        <v>703</v>
      </c>
      <c r="B3" s="10"/>
      <c r="C3" s="10"/>
      <c r="D3" s="10"/>
      <c r="F3" s="9" t="s">
        <v>704</v>
      </c>
      <c r="G3" s="9"/>
      <c r="H3" s="9"/>
      <c r="I3" s="9"/>
      <c r="K3" s="8" t="s">
        <v>705</v>
      </c>
      <c r="L3" s="8"/>
      <c r="M3" s="8"/>
      <c r="N3" s="8"/>
    </row>
    <row r="4" spans="1:14" x14ac:dyDescent="0.3">
      <c r="A4" s="15" t="s">
        <v>3</v>
      </c>
      <c r="B4" s="15" t="s">
        <v>590</v>
      </c>
      <c r="C4" s="15" t="s">
        <v>683</v>
      </c>
      <c r="D4" s="15" t="s">
        <v>706</v>
      </c>
      <c r="F4" s="33" t="s">
        <v>4</v>
      </c>
      <c r="G4" s="33" t="s">
        <v>590</v>
      </c>
      <c r="H4" s="33" t="s">
        <v>683</v>
      </c>
      <c r="I4" s="33" t="s">
        <v>706</v>
      </c>
      <c r="K4" s="87" t="s">
        <v>5</v>
      </c>
      <c r="L4" s="87" t="s">
        <v>590</v>
      </c>
      <c r="M4" s="87" t="s">
        <v>7</v>
      </c>
      <c r="N4" s="87" t="s">
        <v>707</v>
      </c>
    </row>
    <row r="5" spans="1:14" x14ac:dyDescent="0.3">
      <c r="A5" s="26" t="s">
        <v>15</v>
      </c>
      <c r="B5" s="27">
        <v>288582.65999999997</v>
      </c>
      <c r="C5" s="27">
        <v>53144.38</v>
      </c>
      <c r="D5" s="88">
        <v>1132</v>
      </c>
      <c r="F5" s="26" t="s">
        <v>57</v>
      </c>
      <c r="G5" s="27">
        <v>180231.81</v>
      </c>
      <c r="H5" s="27">
        <v>33990.44</v>
      </c>
      <c r="I5" s="88">
        <v>626</v>
      </c>
      <c r="K5" s="26" t="s">
        <v>31</v>
      </c>
      <c r="L5" s="27">
        <v>398012.49</v>
      </c>
      <c r="M5" s="27">
        <v>73877.08</v>
      </c>
      <c r="N5" s="88">
        <v>1582</v>
      </c>
    </row>
    <row r="6" spans="1:14" x14ac:dyDescent="0.3">
      <c r="A6" s="65" t="s">
        <v>25</v>
      </c>
      <c r="B6" s="50">
        <v>274514.34999999998</v>
      </c>
      <c r="C6" s="50">
        <v>53760</v>
      </c>
      <c r="D6" s="89">
        <v>1015</v>
      </c>
      <c r="F6" s="65" t="s">
        <v>21</v>
      </c>
      <c r="G6" s="50">
        <v>146359.96</v>
      </c>
      <c r="H6" s="50">
        <v>27616.73</v>
      </c>
      <c r="I6" s="89">
        <v>517</v>
      </c>
      <c r="K6" s="65" t="s">
        <v>22</v>
      </c>
      <c r="L6" s="50">
        <v>387483.69</v>
      </c>
      <c r="M6" s="50">
        <v>73187.81</v>
      </c>
      <c r="N6" s="89">
        <v>1453</v>
      </c>
    </row>
    <row r="7" spans="1:14" x14ac:dyDescent="0.3">
      <c r="A7" s="26" t="s">
        <v>41</v>
      </c>
      <c r="B7" s="27">
        <v>270403.73</v>
      </c>
      <c r="C7" s="27">
        <v>46179.51</v>
      </c>
      <c r="D7" s="88">
        <v>981</v>
      </c>
      <c r="F7" s="26" t="s">
        <v>30</v>
      </c>
      <c r="G7" s="27">
        <v>139120.17000000001</v>
      </c>
      <c r="H7" s="27">
        <v>25714.51</v>
      </c>
      <c r="I7" s="88">
        <v>600</v>
      </c>
      <c r="K7" s="26" t="s">
        <v>17</v>
      </c>
      <c r="L7" s="27">
        <v>305162.92</v>
      </c>
      <c r="M7" s="27">
        <v>57739.21</v>
      </c>
      <c r="N7" s="88">
        <v>1129</v>
      </c>
    </row>
    <row r="8" spans="1:14" x14ac:dyDescent="0.3">
      <c r="A8" s="65" t="s">
        <v>20</v>
      </c>
      <c r="B8" s="50">
        <v>263318.88</v>
      </c>
      <c r="C8" s="50">
        <v>51518.26</v>
      </c>
      <c r="D8" s="89">
        <v>1165</v>
      </c>
      <c r="F8" s="65" t="s">
        <v>48</v>
      </c>
      <c r="G8" s="50">
        <v>134914.29999999999</v>
      </c>
      <c r="H8" s="50">
        <v>25487.27</v>
      </c>
      <c r="I8" s="89">
        <v>491</v>
      </c>
      <c r="K8" s="65" t="s">
        <v>35</v>
      </c>
      <c r="L8" s="50">
        <v>133745.82999999999</v>
      </c>
      <c r="M8" s="50">
        <v>23947.24</v>
      </c>
      <c r="N8" s="89">
        <v>629</v>
      </c>
    </row>
    <row r="9" spans="1:14" x14ac:dyDescent="0.3">
      <c r="A9" s="26" t="s">
        <v>47</v>
      </c>
      <c r="B9" s="27">
        <v>239189.06</v>
      </c>
      <c r="C9" s="27">
        <v>44053.58</v>
      </c>
      <c r="D9" s="88">
        <v>1031</v>
      </c>
      <c r="F9" s="26" t="s">
        <v>34</v>
      </c>
      <c r="G9" s="27">
        <v>133745.82999999999</v>
      </c>
      <c r="H9" s="27">
        <v>23947.24</v>
      </c>
      <c r="I9" s="88">
        <v>629</v>
      </c>
      <c r="K9" s="26" t="s">
        <v>27</v>
      </c>
      <c r="L9" s="27">
        <v>111603.75</v>
      </c>
      <c r="M9" s="27">
        <v>19904.39</v>
      </c>
      <c r="N9" s="88">
        <v>531</v>
      </c>
    </row>
    <row r="10" spans="1:14" x14ac:dyDescent="0.3">
      <c r="F10" s="65" t="s">
        <v>16</v>
      </c>
      <c r="G10" s="50">
        <v>124931.11</v>
      </c>
      <c r="H10" s="50">
        <v>23748.77</v>
      </c>
      <c r="I10" s="89">
        <v>503</v>
      </c>
    </row>
    <row r="11" spans="1:14" x14ac:dyDescent="0.3">
      <c r="F11" s="26" t="s">
        <v>42</v>
      </c>
      <c r="G11" s="27">
        <v>124883.07</v>
      </c>
      <c r="H11" s="27">
        <v>25722.07</v>
      </c>
      <c r="I11" s="88">
        <v>481</v>
      </c>
    </row>
    <row r="12" spans="1:14" x14ac:dyDescent="0.3">
      <c r="F12" s="65" t="s">
        <v>53</v>
      </c>
      <c r="G12" s="50">
        <v>123978.02</v>
      </c>
      <c r="H12" s="50">
        <v>22675.3</v>
      </c>
      <c r="I12" s="89">
        <v>491</v>
      </c>
    </row>
    <row r="13" spans="1:14" x14ac:dyDescent="0.3">
      <c r="F13" s="26" t="s">
        <v>38</v>
      </c>
      <c r="G13" s="27">
        <v>116240.66</v>
      </c>
      <c r="H13" s="27">
        <v>19849.009999999998</v>
      </c>
      <c r="I13" s="88">
        <v>455</v>
      </c>
    </row>
    <row r="14" spans="1:14" x14ac:dyDescent="0.3">
      <c r="A14" s="7" t="s">
        <v>708</v>
      </c>
      <c r="B14" s="7"/>
      <c r="C14" s="7"/>
      <c r="D14" s="7"/>
      <c r="F14" s="65" t="s">
        <v>26</v>
      </c>
      <c r="G14" s="50">
        <v>111603.75</v>
      </c>
      <c r="H14" s="50">
        <v>19904.39</v>
      </c>
      <c r="I14" s="89">
        <v>531</v>
      </c>
    </row>
    <row r="15" spans="1:14" x14ac:dyDescent="0.3">
      <c r="A15" s="90" t="s">
        <v>11</v>
      </c>
      <c r="B15" s="90" t="s">
        <v>6</v>
      </c>
      <c r="C15" s="90" t="s">
        <v>7</v>
      </c>
      <c r="D15" s="90" t="s">
        <v>709</v>
      </c>
    </row>
    <row r="16" spans="1:14" x14ac:dyDescent="0.3">
      <c r="A16" s="46" t="s">
        <v>666</v>
      </c>
      <c r="B16" s="91">
        <v>128707.56</v>
      </c>
      <c r="C16" s="91">
        <v>24657.56</v>
      </c>
      <c r="D16" s="92">
        <v>0.19159999999999999</v>
      </c>
    </row>
    <row r="17" spans="1:4" x14ac:dyDescent="0.3">
      <c r="A17" s="28" t="s">
        <v>667</v>
      </c>
      <c r="B17" s="29">
        <v>103999.52</v>
      </c>
      <c r="C17" s="29">
        <v>20214.169999999998</v>
      </c>
      <c r="D17" s="93">
        <v>0.19439999999999999</v>
      </c>
    </row>
    <row r="18" spans="1:4" x14ac:dyDescent="0.3">
      <c r="A18" s="46" t="s">
        <v>668</v>
      </c>
      <c r="B18" s="91">
        <v>79143.06</v>
      </c>
      <c r="C18" s="91">
        <v>15830.01</v>
      </c>
      <c r="D18" s="92">
        <v>0.2</v>
      </c>
    </row>
    <row r="19" spans="1:4" x14ac:dyDescent="0.3">
      <c r="A19" s="28" t="s">
        <v>669</v>
      </c>
      <c r="B19" s="29">
        <v>122301.06</v>
      </c>
      <c r="C19" s="29">
        <v>21808.15</v>
      </c>
      <c r="D19" s="93">
        <v>0.17829999999999999</v>
      </c>
    </row>
    <row r="20" spans="1:4" x14ac:dyDescent="0.3">
      <c r="A20" s="46" t="s">
        <v>670</v>
      </c>
      <c r="B20" s="91">
        <v>119204.07</v>
      </c>
      <c r="C20" s="91">
        <v>24111.58</v>
      </c>
      <c r="D20" s="92">
        <v>0.20230000000000001</v>
      </c>
    </row>
    <row r="21" spans="1:4" x14ac:dyDescent="0.3">
      <c r="A21" s="28" t="s">
        <v>671</v>
      </c>
      <c r="B21" s="29">
        <v>75021.539999999994</v>
      </c>
      <c r="C21" s="29">
        <v>13061.01</v>
      </c>
      <c r="D21" s="93">
        <v>0.1741</v>
      </c>
    </row>
    <row r="22" spans="1:4" x14ac:dyDescent="0.3">
      <c r="A22" s="46" t="s">
        <v>672</v>
      </c>
      <c r="B22" s="91">
        <v>116287.37</v>
      </c>
      <c r="C22" s="91">
        <v>22994.69</v>
      </c>
      <c r="D22" s="92">
        <v>0.19769999999999999</v>
      </c>
    </row>
    <row r="23" spans="1:4" x14ac:dyDescent="0.3">
      <c r="A23" s="28" t="s">
        <v>673</v>
      </c>
      <c r="B23" s="29">
        <v>122706.89</v>
      </c>
      <c r="C23" s="29">
        <v>21599.01</v>
      </c>
      <c r="D23" s="93">
        <v>0.17599999999999999</v>
      </c>
    </row>
    <row r="24" spans="1:4" x14ac:dyDescent="0.3">
      <c r="A24" s="46" t="s">
        <v>674</v>
      </c>
      <c r="B24" s="91">
        <v>121349.98</v>
      </c>
      <c r="C24" s="91">
        <v>22561.1</v>
      </c>
      <c r="D24" s="92">
        <v>0.18590000000000001</v>
      </c>
    </row>
    <row r="25" spans="1:4" x14ac:dyDescent="0.3">
      <c r="A25" s="28" t="s">
        <v>675</v>
      </c>
      <c r="B25" s="29">
        <v>108540.46</v>
      </c>
      <c r="C25" s="29">
        <v>18877.34</v>
      </c>
      <c r="D25" s="93">
        <v>0.1739</v>
      </c>
    </row>
    <row r="26" spans="1:4" x14ac:dyDescent="0.3">
      <c r="A26" s="46" t="s">
        <v>676</v>
      </c>
      <c r="B26" s="91">
        <v>122048.53</v>
      </c>
      <c r="C26" s="91">
        <v>21119.439999999999</v>
      </c>
      <c r="D26" s="92">
        <v>0.17299999999999999</v>
      </c>
    </row>
    <row r="27" spans="1:4" x14ac:dyDescent="0.3">
      <c r="A27" s="28" t="s">
        <v>677</v>
      </c>
      <c r="B27" s="29">
        <v>116698.64</v>
      </c>
      <c r="C27" s="29">
        <v>21821.67</v>
      </c>
      <c r="D27" s="93">
        <v>0.187</v>
      </c>
    </row>
  </sheetData>
  <mergeCells count="5">
    <mergeCell ref="A1:L1"/>
    <mergeCell ref="A3:D3"/>
    <mergeCell ref="F3:I3"/>
    <mergeCell ref="K3:N3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P142"/>
  <sheetViews>
    <sheetView zoomScale="64" zoomScaleNormal="100" workbookViewId="0">
      <selection sqref="A1:P1"/>
    </sheetView>
  </sheetViews>
  <sheetFormatPr defaultColWidth="8.6640625" defaultRowHeight="14.4" x14ac:dyDescent="0.3"/>
  <cols>
    <col min="1" max="3" width="14" customWidth="1"/>
  </cols>
  <sheetData>
    <row r="1" spans="1:16" ht="30" customHeight="1" x14ac:dyDescent="0.3">
      <c r="A1" s="14" t="s">
        <v>710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3" spans="1:16" x14ac:dyDescent="0.3">
      <c r="A3" s="42" t="s">
        <v>3</v>
      </c>
      <c r="B3" s="42" t="s">
        <v>6</v>
      </c>
      <c r="C3" s="42" t="s">
        <v>7</v>
      </c>
    </row>
    <row r="4" spans="1:16" x14ac:dyDescent="0.3">
      <c r="A4" t="s">
        <v>15</v>
      </c>
      <c r="B4" s="94">
        <v>288582.65999999997</v>
      </c>
      <c r="C4" s="94">
        <v>53144.38</v>
      </c>
    </row>
    <row r="5" spans="1:16" x14ac:dyDescent="0.3">
      <c r="A5" t="s">
        <v>47</v>
      </c>
      <c r="B5" s="94">
        <v>239189.06</v>
      </c>
      <c r="C5" s="94">
        <v>44053.58</v>
      </c>
    </row>
    <row r="6" spans="1:16" x14ac:dyDescent="0.3">
      <c r="A6" t="s">
        <v>41</v>
      </c>
      <c r="B6" s="94">
        <v>270403.73</v>
      </c>
      <c r="C6" s="94">
        <v>46179.51</v>
      </c>
    </row>
    <row r="7" spans="1:16" x14ac:dyDescent="0.3">
      <c r="A7" t="s">
        <v>20</v>
      </c>
      <c r="B7" s="94">
        <v>263318.88</v>
      </c>
      <c r="C7" s="94">
        <v>51518.26</v>
      </c>
    </row>
    <row r="8" spans="1:16" x14ac:dyDescent="0.3">
      <c r="A8" t="s">
        <v>25</v>
      </c>
      <c r="B8" s="94">
        <v>274514.34999999998</v>
      </c>
      <c r="C8" s="94">
        <v>53760</v>
      </c>
    </row>
    <row r="11" spans="1:16" x14ac:dyDescent="0.3">
      <c r="A11" s="95" t="s">
        <v>5</v>
      </c>
      <c r="B11" s="95" t="s">
        <v>6</v>
      </c>
    </row>
    <row r="12" spans="1:16" x14ac:dyDescent="0.3">
      <c r="A12" t="s">
        <v>22</v>
      </c>
      <c r="B12" s="94">
        <v>387483.69</v>
      </c>
    </row>
    <row r="13" spans="1:16" x14ac:dyDescent="0.3">
      <c r="A13" t="s">
        <v>17</v>
      </c>
      <c r="B13" s="94">
        <v>305162.92</v>
      </c>
    </row>
    <row r="14" spans="1:16" x14ac:dyDescent="0.3">
      <c r="A14" t="s">
        <v>27</v>
      </c>
      <c r="B14" s="94">
        <v>111603.75</v>
      </c>
    </row>
    <row r="15" spans="1:16" x14ac:dyDescent="0.3">
      <c r="A15" t="s">
        <v>31</v>
      </c>
      <c r="B15" s="94">
        <v>398012.49</v>
      </c>
    </row>
    <row r="16" spans="1:16" x14ac:dyDescent="0.3">
      <c r="A16" t="s">
        <v>35</v>
      </c>
      <c r="B16" s="94">
        <v>133745.82999999999</v>
      </c>
    </row>
    <row r="20" spans="1:4" x14ac:dyDescent="0.3">
      <c r="A20" t="s">
        <v>11</v>
      </c>
      <c r="B20" s="96" t="s">
        <v>660</v>
      </c>
      <c r="C20" s="96" t="s">
        <v>661</v>
      </c>
      <c r="D20" s="96" t="s">
        <v>662</v>
      </c>
    </row>
    <row r="21" spans="1:4" x14ac:dyDescent="0.3">
      <c r="A21" t="s">
        <v>666</v>
      </c>
      <c r="B21">
        <v>47340.49</v>
      </c>
      <c r="C21">
        <v>48891.14</v>
      </c>
      <c r="D21">
        <v>32475.93</v>
      </c>
    </row>
    <row r="22" spans="1:4" x14ac:dyDescent="0.3">
      <c r="A22" t="s">
        <v>667</v>
      </c>
      <c r="B22">
        <v>31167.52</v>
      </c>
      <c r="C22">
        <v>33621.040000000001</v>
      </c>
      <c r="D22">
        <v>39210.959999999999</v>
      </c>
    </row>
    <row r="23" spans="1:4" x14ac:dyDescent="0.3">
      <c r="A23" t="s">
        <v>668</v>
      </c>
      <c r="B23">
        <v>34374.06</v>
      </c>
      <c r="C23">
        <v>27576.1</v>
      </c>
      <c r="D23">
        <v>17192.900000000001</v>
      </c>
    </row>
    <row r="24" spans="1:4" x14ac:dyDescent="0.3">
      <c r="A24" t="s">
        <v>669</v>
      </c>
      <c r="B24">
        <v>53416.03</v>
      </c>
      <c r="C24">
        <v>43465.7</v>
      </c>
      <c r="D24">
        <v>25419.33</v>
      </c>
    </row>
    <row r="25" spans="1:4" x14ac:dyDescent="0.3">
      <c r="A25" t="s">
        <v>670</v>
      </c>
      <c r="B25">
        <v>42433.14</v>
      </c>
      <c r="C25">
        <v>34882.81</v>
      </c>
      <c r="D25">
        <v>41888.120000000003</v>
      </c>
    </row>
    <row r="26" spans="1:4" x14ac:dyDescent="0.3">
      <c r="A26" t="s">
        <v>671</v>
      </c>
      <c r="B26">
        <v>17131.099999999999</v>
      </c>
      <c r="C26">
        <v>26596.2</v>
      </c>
      <c r="D26">
        <v>31294.240000000002</v>
      </c>
    </row>
    <row r="27" spans="1:4" x14ac:dyDescent="0.3">
      <c r="A27" t="s">
        <v>672</v>
      </c>
      <c r="B27">
        <v>33788.67</v>
      </c>
      <c r="C27">
        <v>44800.7</v>
      </c>
      <c r="D27">
        <v>37698</v>
      </c>
    </row>
    <row r="28" spans="1:4" x14ac:dyDescent="0.3">
      <c r="A28" t="s">
        <v>673</v>
      </c>
      <c r="B28">
        <v>41873.910000000003</v>
      </c>
      <c r="C28">
        <v>41788.120000000003</v>
      </c>
      <c r="D28">
        <v>39044.86</v>
      </c>
    </row>
    <row r="29" spans="1:4" x14ac:dyDescent="0.3">
      <c r="A29" t="s">
        <v>674</v>
      </c>
      <c r="B29">
        <v>33346.89</v>
      </c>
      <c r="C29">
        <v>32785.199999999997</v>
      </c>
      <c r="D29">
        <v>55217.89</v>
      </c>
    </row>
    <row r="30" spans="1:4" x14ac:dyDescent="0.3">
      <c r="A30" t="s">
        <v>675</v>
      </c>
      <c r="B30">
        <v>32266.13</v>
      </c>
      <c r="C30">
        <v>39533.800000000003</v>
      </c>
      <c r="D30">
        <v>36740.53</v>
      </c>
    </row>
    <row r="31" spans="1:4" x14ac:dyDescent="0.3">
      <c r="A31" t="s">
        <v>676</v>
      </c>
      <c r="B31">
        <v>50462.85</v>
      </c>
      <c r="C31">
        <v>36724.089999999997</v>
      </c>
      <c r="D31">
        <v>34861.589999999997</v>
      </c>
    </row>
    <row r="32" spans="1:4" x14ac:dyDescent="0.3">
      <c r="A32" t="s">
        <v>677</v>
      </c>
      <c r="B32">
        <v>36713.99</v>
      </c>
      <c r="C32">
        <v>31185.89</v>
      </c>
      <c r="D32">
        <v>48798.76</v>
      </c>
    </row>
    <row r="34" spans="1:3" x14ac:dyDescent="0.3">
      <c r="A34" t="s">
        <v>711</v>
      </c>
      <c r="B34" t="s">
        <v>6</v>
      </c>
      <c r="C34" t="s">
        <v>7</v>
      </c>
    </row>
    <row r="35" spans="1:3" x14ac:dyDescent="0.3">
      <c r="A35" t="s">
        <v>712</v>
      </c>
      <c r="B35">
        <v>311850.14</v>
      </c>
      <c r="C35">
        <v>60701.74</v>
      </c>
    </row>
    <row r="36" spans="1:3" x14ac:dyDescent="0.3">
      <c r="A36" t="s">
        <v>713</v>
      </c>
      <c r="B36">
        <v>316526.67</v>
      </c>
      <c r="C36">
        <v>58980.74</v>
      </c>
    </row>
    <row r="37" spans="1:3" x14ac:dyDescent="0.3">
      <c r="A37" t="s">
        <v>714</v>
      </c>
      <c r="B37">
        <v>360344.24</v>
      </c>
      <c r="C37">
        <v>67154.8</v>
      </c>
    </row>
    <row r="38" spans="1:3" x14ac:dyDescent="0.3">
      <c r="A38" t="s">
        <v>715</v>
      </c>
      <c r="B38">
        <v>347287.63</v>
      </c>
      <c r="C38">
        <v>61818.45</v>
      </c>
    </row>
    <row r="42" spans="1:3" x14ac:dyDescent="0.3">
      <c r="A42" t="s">
        <v>9</v>
      </c>
      <c r="B42" t="s">
        <v>7</v>
      </c>
    </row>
    <row r="43" spans="1:3" x14ac:dyDescent="0.3">
      <c r="A43">
        <v>8</v>
      </c>
      <c r="B43">
        <v>940.62</v>
      </c>
    </row>
    <row r="44" spans="1:3" x14ac:dyDescent="0.3">
      <c r="A44">
        <v>18</v>
      </c>
      <c r="B44">
        <v>803.56</v>
      </c>
    </row>
    <row r="45" spans="1:3" x14ac:dyDescent="0.3">
      <c r="A45">
        <v>14</v>
      </c>
      <c r="B45">
        <v>259.29000000000002</v>
      </c>
    </row>
    <row r="46" spans="1:3" x14ac:dyDescent="0.3">
      <c r="A46">
        <v>6</v>
      </c>
      <c r="B46">
        <v>118.2</v>
      </c>
    </row>
    <row r="47" spans="1:3" x14ac:dyDescent="0.3">
      <c r="A47">
        <v>17</v>
      </c>
      <c r="B47">
        <v>440.99</v>
      </c>
    </row>
    <row r="48" spans="1:3" x14ac:dyDescent="0.3">
      <c r="A48">
        <v>9</v>
      </c>
      <c r="B48">
        <v>666.01</v>
      </c>
    </row>
    <row r="49" spans="1:2" x14ac:dyDescent="0.3">
      <c r="A49">
        <v>12</v>
      </c>
      <c r="B49">
        <v>971.3</v>
      </c>
    </row>
    <row r="50" spans="1:2" x14ac:dyDescent="0.3">
      <c r="A50">
        <v>5</v>
      </c>
      <c r="B50">
        <v>408.82</v>
      </c>
    </row>
    <row r="51" spans="1:2" x14ac:dyDescent="0.3">
      <c r="A51">
        <v>11</v>
      </c>
      <c r="B51">
        <v>535.25</v>
      </c>
    </row>
    <row r="52" spans="1:2" x14ac:dyDescent="0.3">
      <c r="A52">
        <v>9</v>
      </c>
      <c r="B52">
        <v>611.72</v>
      </c>
    </row>
    <row r="53" spans="1:2" x14ac:dyDescent="0.3">
      <c r="A53">
        <v>11</v>
      </c>
      <c r="B53">
        <v>789.67</v>
      </c>
    </row>
    <row r="54" spans="1:2" x14ac:dyDescent="0.3">
      <c r="A54">
        <v>17</v>
      </c>
      <c r="B54">
        <v>188.84</v>
      </c>
    </row>
    <row r="55" spans="1:2" x14ac:dyDescent="0.3">
      <c r="A55">
        <v>6</v>
      </c>
      <c r="B55">
        <v>221.8</v>
      </c>
    </row>
    <row r="56" spans="1:2" x14ac:dyDescent="0.3">
      <c r="A56">
        <v>17</v>
      </c>
      <c r="B56">
        <v>529.45000000000005</v>
      </c>
    </row>
    <row r="57" spans="1:2" x14ac:dyDescent="0.3">
      <c r="A57">
        <v>11</v>
      </c>
      <c r="B57">
        <v>751.41</v>
      </c>
    </row>
    <row r="58" spans="1:2" x14ac:dyDescent="0.3">
      <c r="A58">
        <v>3</v>
      </c>
      <c r="B58">
        <v>366.13</v>
      </c>
    </row>
    <row r="59" spans="1:2" x14ac:dyDescent="0.3">
      <c r="A59">
        <v>17</v>
      </c>
      <c r="B59">
        <v>305.97000000000003</v>
      </c>
    </row>
    <row r="60" spans="1:2" x14ac:dyDescent="0.3">
      <c r="A60">
        <v>9</v>
      </c>
      <c r="B60">
        <v>386.65</v>
      </c>
    </row>
    <row r="61" spans="1:2" x14ac:dyDescent="0.3">
      <c r="A61">
        <v>9</v>
      </c>
      <c r="B61">
        <v>390.2</v>
      </c>
    </row>
    <row r="62" spans="1:2" x14ac:dyDescent="0.3">
      <c r="A62">
        <v>14</v>
      </c>
      <c r="B62">
        <v>311.89</v>
      </c>
    </row>
    <row r="63" spans="1:2" x14ac:dyDescent="0.3">
      <c r="A63">
        <v>20</v>
      </c>
      <c r="B63">
        <v>420.25</v>
      </c>
    </row>
    <row r="64" spans="1:2" x14ac:dyDescent="0.3">
      <c r="A64">
        <v>4</v>
      </c>
      <c r="B64">
        <v>505.96</v>
      </c>
    </row>
    <row r="65" spans="1:2" x14ac:dyDescent="0.3">
      <c r="A65">
        <v>10</v>
      </c>
      <c r="B65">
        <v>381.14</v>
      </c>
    </row>
    <row r="66" spans="1:2" x14ac:dyDescent="0.3">
      <c r="A66">
        <v>13</v>
      </c>
      <c r="B66">
        <v>788.73</v>
      </c>
    </row>
    <row r="67" spans="1:2" x14ac:dyDescent="0.3">
      <c r="A67">
        <v>18</v>
      </c>
      <c r="B67">
        <v>147.22</v>
      </c>
    </row>
    <row r="68" spans="1:2" x14ac:dyDescent="0.3">
      <c r="A68">
        <v>18</v>
      </c>
      <c r="B68">
        <v>419.38</v>
      </c>
    </row>
    <row r="69" spans="1:2" x14ac:dyDescent="0.3">
      <c r="A69">
        <v>6</v>
      </c>
      <c r="B69">
        <v>909.11</v>
      </c>
    </row>
    <row r="70" spans="1:2" x14ac:dyDescent="0.3">
      <c r="A70">
        <v>16</v>
      </c>
      <c r="B70">
        <v>356.92</v>
      </c>
    </row>
    <row r="71" spans="1:2" x14ac:dyDescent="0.3">
      <c r="A71">
        <v>7</v>
      </c>
      <c r="B71">
        <v>366.37</v>
      </c>
    </row>
    <row r="72" spans="1:2" x14ac:dyDescent="0.3">
      <c r="A72">
        <v>2</v>
      </c>
      <c r="B72">
        <v>1035.8399999999999</v>
      </c>
    </row>
    <row r="73" spans="1:2" x14ac:dyDescent="0.3">
      <c r="A73">
        <v>7</v>
      </c>
      <c r="B73">
        <v>592.34</v>
      </c>
    </row>
    <row r="74" spans="1:2" x14ac:dyDescent="0.3">
      <c r="A74">
        <v>15</v>
      </c>
      <c r="B74">
        <v>350.48</v>
      </c>
    </row>
    <row r="75" spans="1:2" x14ac:dyDescent="0.3">
      <c r="A75">
        <v>15</v>
      </c>
      <c r="B75">
        <v>255.06</v>
      </c>
    </row>
    <row r="76" spans="1:2" x14ac:dyDescent="0.3">
      <c r="A76">
        <v>18</v>
      </c>
      <c r="B76">
        <v>194.66</v>
      </c>
    </row>
    <row r="77" spans="1:2" x14ac:dyDescent="0.3">
      <c r="A77">
        <v>2</v>
      </c>
      <c r="B77">
        <v>456.68</v>
      </c>
    </row>
    <row r="78" spans="1:2" x14ac:dyDescent="0.3">
      <c r="A78">
        <v>11</v>
      </c>
      <c r="B78">
        <v>241.37</v>
      </c>
    </row>
    <row r="79" spans="1:2" x14ac:dyDescent="0.3">
      <c r="A79">
        <v>1</v>
      </c>
      <c r="B79">
        <v>693.79</v>
      </c>
    </row>
    <row r="80" spans="1:2" x14ac:dyDescent="0.3">
      <c r="A80">
        <v>7</v>
      </c>
      <c r="B80">
        <v>162.99</v>
      </c>
    </row>
    <row r="81" spans="1:2" x14ac:dyDescent="0.3">
      <c r="A81">
        <v>7</v>
      </c>
      <c r="B81">
        <v>39.130000000000003</v>
      </c>
    </row>
    <row r="82" spans="1:2" x14ac:dyDescent="0.3">
      <c r="A82">
        <v>13</v>
      </c>
      <c r="B82">
        <v>283.89999999999998</v>
      </c>
    </row>
    <row r="83" spans="1:2" x14ac:dyDescent="0.3">
      <c r="A83">
        <v>18</v>
      </c>
      <c r="B83">
        <v>759.09</v>
      </c>
    </row>
    <row r="84" spans="1:2" x14ac:dyDescent="0.3">
      <c r="A84">
        <v>19</v>
      </c>
      <c r="B84">
        <v>422.44</v>
      </c>
    </row>
    <row r="85" spans="1:2" x14ac:dyDescent="0.3">
      <c r="A85">
        <v>4</v>
      </c>
      <c r="B85">
        <v>566.30999999999995</v>
      </c>
    </row>
    <row r="86" spans="1:2" x14ac:dyDescent="0.3">
      <c r="A86">
        <v>9</v>
      </c>
      <c r="B86">
        <v>103.54</v>
      </c>
    </row>
    <row r="87" spans="1:2" x14ac:dyDescent="0.3">
      <c r="A87">
        <v>10</v>
      </c>
      <c r="B87">
        <v>557.5</v>
      </c>
    </row>
    <row r="88" spans="1:2" x14ac:dyDescent="0.3">
      <c r="A88">
        <v>20</v>
      </c>
      <c r="B88">
        <v>64.81</v>
      </c>
    </row>
    <row r="89" spans="1:2" x14ac:dyDescent="0.3">
      <c r="A89">
        <v>8</v>
      </c>
      <c r="B89">
        <v>406.88</v>
      </c>
    </row>
    <row r="90" spans="1:2" x14ac:dyDescent="0.3">
      <c r="A90">
        <v>13</v>
      </c>
      <c r="B90">
        <v>669.96</v>
      </c>
    </row>
    <row r="91" spans="1:2" x14ac:dyDescent="0.3">
      <c r="A91">
        <v>18</v>
      </c>
      <c r="B91">
        <v>169.28</v>
      </c>
    </row>
    <row r="92" spans="1:2" x14ac:dyDescent="0.3">
      <c r="A92">
        <v>16</v>
      </c>
      <c r="B92">
        <v>526.9</v>
      </c>
    </row>
    <row r="93" spans="1:2" x14ac:dyDescent="0.3">
      <c r="A93">
        <v>8</v>
      </c>
      <c r="B93">
        <v>1335.74</v>
      </c>
    </row>
    <row r="94" spans="1:2" x14ac:dyDescent="0.3">
      <c r="A94">
        <v>4</v>
      </c>
      <c r="B94">
        <v>1044.78</v>
      </c>
    </row>
    <row r="95" spans="1:2" x14ac:dyDescent="0.3">
      <c r="A95">
        <v>3</v>
      </c>
      <c r="B95">
        <v>282.94</v>
      </c>
    </row>
    <row r="96" spans="1:2" x14ac:dyDescent="0.3">
      <c r="A96">
        <v>19</v>
      </c>
      <c r="B96">
        <v>460.65</v>
      </c>
    </row>
    <row r="97" spans="1:2" x14ac:dyDescent="0.3">
      <c r="A97">
        <v>18</v>
      </c>
      <c r="B97">
        <v>832.12</v>
      </c>
    </row>
    <row r="98" spans="1:2" x14ac:dyDescent="0.3">
      <c r="A98">
        <v>2</v>
      </c>
      <c r="B98">
        <v>1216.3699999999999</v>
      </c>
    </row>
    <row r="99" spans="1:2" x14ac:dyDescent="0.3">
      <c r="A99">
        <v>18</v>
      </c>
      <c r="B99">
        <v>285.27</v>
      </c>
    </row>
    <row r="100" spans="1:2" x14ac:dyDescent="0.3">
      <c r="A100">
        <v>1</v>
      </c>
      <c r="B100">
        <v>849.97</v>
      </c>
    </row>
    <row r="101" spans="1:2" x14ac:dyDescent="0.3">
      <c r="A101">
        <v>20</v>
      </c>
      <c r="B101">
        <v>188.42</v>
      </c>
    </row>
    <row r="102" spans="1:2" x14ac:dyDescent="0.3">
      <c r="A102">
        <v>3</v>
      </c>
      <c r="B102">
        <v>175.59</v>
      </c>
    </row>
    <row r="103" spans="1:2" x14ac:dyDescent="0.3">
      <c r="A103">
        <v>10</v>
      </c>
      <c r="B103">
        <v>200.26</v>
      </c>
    </row>
    <row r="104" spans="1:2" x14ac:dyDescent="0.3">
      <c r="A104">
        <v>14</v>
      </c>
      <c r="B104">
        <v>714.81</v>
      </c>
    </row>
    <row r="105" spans="1:2" x14ac:dyDescent="0.3">
      <c r="A105">
        <v>19</v>
      </c>
      <c r="B105">
        <v>74.25</v>
      </c>
    </row>
    <row r="106" spans="1:2" x14ac:dyDescent="0.3">
      <c r="A106">
        <v>11</v>
      </c>
      <c r="B106">
        <v>755.4</v>
      </c>
    </row>
    <row r="107" spans="1:2" x14ac:dyDescent="0.3">
      <c r="A107">
        <v>4</v>
      </c>
      <c r="B107">
        <v>1023.96</v>
      </c>
    </row>
    <row r="108" spans="1:2" x14ac:dyDescent="0.3">
      <c r="A108">
        <v>15</v>
      </c>
      <c r="B108">
        <v>614.42999999999995</v>
      </c>
    </row>
    <row r="109" spans="1:2" x14ac:dyDescent="0.3">
      <c r="A109">
        <v>17</v>
      </c>
      <c r="B109">
        <v>1032.2</v>
      </c>
    </row>
    <row r="110" spans="1:2" x14ac:dyDescent="0.3">
      <c r="A110">
        <v>9</v>
      </c>
      <c r="B110">
        <v>799.83</v>
      </c>
    </row>
    <row r="111" spans="1:2" x14ac:dyDescent="0.3">
      <c r="A111">
        <v>2</v>
      </c>
      <c r="B111">
        <v>798.93</v>
      </c>
    </row>
    <row r="112" spans="1:2" x14ac:dyDescent="0.3">
      <c r="A112">
        <v>13</v>
      </c>
      <c r="B112">
        <v>401.21</v>
      </c>
    </row>
    <row r="113" spans="1:2" x14ac:dyDescent="0.3">
      <c r="A113">
        <v>13</v>
      </c>
      <c r="B113">
        <v>495.05</v>
      </c>
    </row>
    <row r="114" spans="1:2" x14ac:dyDescent="0.3">
      <c r="A114">
        <v>14</v>
      </c>
      <c r="B114">
        <v>280.35000000000002</v>
      </c>
    </row>
    <row r="115" spans="1:2" x14ac:dyDescent="0.3">
      <c r="A115">
        <v>12</v>
      </c>
      <c r="B115">
        <v>370.25</v>
      </c>
    </row>
    <row r="116" spans="1:2" x14ac:dyDescent="0.3">
      <c r="A116">
        <v>5</v>
      </c>
      <c r="B116">
        <v>552.05999999999995</v>
      </c>
    </row>
    <row r="117" spans="1:2" x14ac:dyDescent="0.3">
      <c r="A117">
        <v>5</v>
      </c>
      <c r="B117">
        <v>437.93</v>
      </c>
    </row>
    <row r="118" spans="1:2" x14ac:dyDescent="0.3">
      <c r="A118">
        <v>16</v>
      </c>
      <c r="B118">
        <v>407.97</v>
      </c>
    </row>
    <row r="119" spans="1:2" x14ac:dyDescent="0.3">
      <c r="A119">
        <v>3</v>
      </c>
      <c r="B119">
        <v>381.6</v>
      </c>
    </row>
    <row r="120" spans="1:2" x14ac:dyDescent="0.3">
      <c r="A120">
        <v>5</v>
      </c>
      <c r="B120">
        <v>196.89</v>
      </c>
    </row>
    <row r="121" spans="1:2" x14ac:dyDescent="0.3">
      <c r="A121">
        <v>5</v>
      </c>
      <c r="B121">
        <v>186.27</v>
      </c>
    </row>
    <row r="122" spans="1:2" x14ac:dyDescent="0.3">
      <c r="A122">
        <v>17</v>
      </c>
      <c r="B122">
        <v>329.82</v>
      </c>
    </row>
    <row r="123" spans="1:2" x14ac:dyDescent="0.3">
      <c r="A123">
        <v>1</v>
      </c>
      <c r="B123">
        <v>545.21</v>
      </c>
    </row>
    <row r="124" spans="1:2" x14ac:dyDescent="0.3">
      <c r="A124">
        <v>10</v>
      </c>
      <c r="B124">
        <v>185.86</v>
      </c>
    </row>
    <row r="125" spans="1:2" x14ac:dyDescent="0.3">
      <c r="A125">
        <v>7</v>
      </c>
      <c r="B125">
        <v>406.36</v>
      </c>
    </row>
    <row r="126" spans="1:2" x14ac:dyDescent="0.3">
      <c r="A126">
        <v>19</v>
      </c>
      <c r="B126">
        <v>227.33</v>
      </c>
    </row>
    <row r="127" spans="1:2" x14ac:dyDescent="0.3">
      <c r="A127">
        <v>17</v>
      </c>
      <c r="B127">
        <v>968.48</v>
      </c>
    </row>
    <row r="128" spans="1:2" x14ac:dyDescent="0.3">
      <c r="A128">
        <v>15</v>
      </c>
      <c r="B128">
        <v>56.91</v>
      </c>
    </row>
    <row r="129" spans="1:2" x14ac:dyDescent="0.3">
      <c r="A129">
        <v>20</v>
      </c>
      <c r="B129">
        <v>260.56</v>
      </c>
    </row>
    <row r="130" spans="1:2" x14ac:dyDescent="0.3">
      <c r="A130">
        <v>5</v>
      </c>
      <c r="B130">
        <v>480.36</v>
      </c>
    </row>
    <row r="131" spans="1:2" x14ac:dyDescent="0.3">
      <c r="A131">
        <v>9</v>
      </c>
      <c r="B131">
        <v>547.85</v>
      </c>
    </row>
    <row r="132" spans="1:2" x14ac:dyDescent="0.3">
      <c r="A132">
        <v>20</v>
      </c>
      <c r="B132">
        <v>662.17</v>
      </c>
    </row>
    <row r="133" spans="1:2" x14ac:dyDescent="0.3">
      <c r="A133">
        <v>8</v>
      </c>
      <c r="B133">
        <v>645.66999999999996</v>
      </c>
    </row>
    <row r="134" spans="1:2" x14ac:dyDescent="0.3">
      <c r="A134">
        <v>17</v>
      </c>
      <c r="B134">
        <v>604.66</v>
      </c>
    </row>
    <row r="135" spans="1:2" x14ac:dyDescent="0.3">
      <c r="A135">
        <v>16</v>
      </c>
      <c r="B135">
        <v>709.68</v>
      </c>
    </row>
    <row r="136" spans="1:2" x14ac:dyDescent="0.3">
      <c r="A136">
        <v>7</v>
      </c>
      <c r="B136">
        <v>579.88</v>
      </c>
    </row>
    <row r="137" spans="1:2" x14ac:dyDescent="0.3">
      <c r="A137">
        <v>5</v>
      </c>
      <c r="B137">
        <v>354.26</v>
      </c>
    </row>
    <row r="138" spans="1:2" x14ac:dyDescent="0.3">
      <c r="A138">
        <v>11</v>
      </c>
      <c r="B138">
        <v>1154.26</v>
      </c>
    </row>
    <row r="139" spans="1:2" x14ac:dyDescent="0.3">
      <c r="A139">
        <v>16</v>
      </c>
      <c r="B139">
        <v>485.76</v>
      </c>
    </row>
    <row r="140" spans="1:2" x14ac:dyDescent="0.3">
      <c r="A140">
        <v>3</v>
      </c>
      <c r="B140">
        <v>465.99</v>
      </c>
    </row>
    <row r="141" spans="1:2" x14ac:dyDescent="0.3">
      <c r="A141">
        <v>18</v>
      </c>
      <c r="B141">
        <v>973.47</v>
      </c>
    </row>
    <row r="142" spans="1:2" x14ac:dyDescent="0.3">
      <c r="A142">
        <v>7</v>
      </c>
      <c r="B142">
        <v>1282.3900000000001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Y59"/>
  <sheetViews>
    <sheetView showGridLines="0" zoomScale="50" zoomScaleNormal="160" workbookViewId="0">
      <selection activeCell="AE35" sqref="AE35"/>
    </sheetView>
  </sheetViews>
  <sheetFormatPr defaultColWidth="8.6640625" defaultRowHeight="14.4" x14ac:dyDescent="0.3"/>
  <cols>
    <col min="1" max="1" width="1" customWidth="1"/>
    <col min="2" max="2" width="5.5546875" customWidth="1"/>
    <col min="3" max="3" width="27.88671875" customWidth="1"/>
    <col min="4" max="4" width="17.5546875" customWidth="1"/>
    <col min="5" max="5" width="14.5546875" customWidth="1"/>
    <col min="6" max="24" width="5.5546875" customWidth="1"/>
    <col min="25" max="25" width="1" customWidth="1"/>
  </cols>
  <sheetData>
    <row r="1" spans="1:25" ht="39.75" customHeight="1" x14ac:dyDescent="0.3">
      <c r="A1" s="6" t="s">
        <v>716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21.75" customHeight="1" x14ac:dyDescent="0.3">
      <c r="A2" s="5" t="s">
        <v>717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3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</row>
    <row r="4" spans="1:25" ht="21.75" customHeight="1" x14ac:dyDescent="0.3">
      <c r="A4" s="97"/>
      <c r="B4" s="4" t="s">
        <v>718</v>
      </c>
      <c r="C4" s="4"/>
      <c r="D4" s="4"/>
      <c r="E4" s="4"/>
      <c r="F4" s="97"/>
      <c r="G4" s="3" t="s">
        <v>719</v>
      </c>
      <c r="H4" s="3"/>
      <c r="I4" s="3"/>
      <c r="J4" s="3"/>
      <c r="K4" s="97"/>
      <c r="L4" s="2" t="s">
        <v>720</v>
      </c>
      <c r="M4" s="2"/>
      <c r="N4" s="2"/>
      <c r="O4" s="2"/>
      <c r="P4" s="97"/>
      <c r="Q4" s="1" t="s">
        <v>721</v>
      </c>
      <c r="R4" s="1"/>
      <c r="S4" s="1"/>
      <c r="T4" s="1"/>
      <c r="U4" s="97"/>
      <c r="V4" s="123" t="s">
        <v>722</v>
      </c>
      <c r="W4" s="123"/>
      <c r="X4" s="123"/>
      <c r="Y4" s="123"/>
    </row>
    <row r="5" spans="1:25" ht="18" customHeight="1" x14ac:dyDescent="0.3">
      <c r="A5" s="97"/>
      <c r="B5" s="124" t="s">
        <v>590</v>
      </c>
      <c r="C5" s="124"/>
      <c r="D5" s="124"/>
      <c r="E5" s="124"/>
      <c r="F5" s="97"/>
      <c r="G5" s="125" t="s">
        <v>683</v>
      </c>
      <c r="H5" s="125"/>
      <c r="I5" s="125"/>
      <c r="J5" s="125"/>
      <c r="K5" s="97"/>
      <c r="L5" s="126" t="s">
        <v>684</v>
      </c>
      <c r="M5" s="126"/>
      <c r="N5" s="126"/>
      <c r="O5" s="126"/>
      <c r="P5" s="97"/>
      <c r="Q5" s="127" t="s">
        <v>723</v>
      </c>
      <c r="R5" s="127"/>
      <c r="S5" s="127"/>
      <c r="T5" s="127"/>
      <c r="U5" s="97"/>
      <c r="V5" s="128" t="s">
        <v>724</v>
      </c>
      <c r="W5" s="128"/>
      <c r="X5" s="128"/>
      <c r="Y5" s="128"/>
    </row>
    <row r="6" spans="1:25" ht="27.75" customHeight="1" x14ac:dyDescent="0.3">
      <c r="A6" s="97"/>
      <c r="B6" s="129">
        <f>SUM(Raw_Data!F3:F502)</f>
        <v>1336008.6799999997</v>
      </c>
      <c r="C6" s="129"/>
      <c r="D6" s="129"/>
      <c r="E6" s="129"/>
      <c r="F6" s="97"/>
      <c r="G6" s="130">
        <f>SUM(Raw_Data!G3:G502)</f>
        <v>248655.73000000004</v>
      </c>
      <c r="H6" s="130"/>
      <c r="I6" s="130"/>
      <c r="J6" s="130"/>
      <c r="K6" s="97"/>
      <c r="L6" s="131">
        <f>AVERAGE(Raw_Data!H3:H502)</f>
        <v>0.15429999999999996</v>
      </c>
      <c r="M6" s="131"/>
      <c r="N6" s="131"/>
      <c r="O6" s="131"/>
      <c r="P6" s="97"/>
      <c r="Q6" s="132">
        <f>COUNTA(Raw_Data!A3:A502)</f>
        <v>500</v>
      </c>
      <c r="R6" s="132"/>
      <c r="S6" s="132"/>
      <c r="T6" s="132"/>
      <c r="U6" s="97"/>
      <c r="V6" s="133">
        <f>SUM(Raw_Data!F3:F502)/COUNTA(Raw_Data!A3:A502)</f>
        <v>2672.0173599999994</v>
      </c>
      <c r="W6" s="133"/>
      <c r="X6" s="133"/>
      <c r="Y6" s="133"/>
    </row>
    <row r="7" spans="1:25" ht="9.75" customHeight="1" x14ac:dyDescent="0.3">
      <c r="A7" s="97"/>
      <c r="B7" s="129"/>
      <c r="C7" s="129"/>
      <c r="D7" s="129"/>
      <c r="E7" s="129"/>
      <c r="F7" s="97"/>
      <c r="G7" s="130"/>
      <c r="H7" s="130"/>
      <c r="I7" s="130"/>
      <c r="J7" s="130"/>
      <c r="K7" s="97"/>
      <c r="L7" s="131"/>
      <c r="M7" s="131"/>
      <c r="N7" s="131"/>
      <c r="O7" s="131"/>
      <c r="P7" s="97"/>
      <c r="Q7" s="132"/>
      <c r="R7" s="132"/>
      <c r="S7" s="132"/>
      <c r="T7" s="132"/>
      <c r="U7" s="97"/>
      <c r="V7" s="133"/>
      <c r="W7" s="133"/>
      <c r="X7" s="133"/>
      <c r="Y7" s="133"/>
    </row>
    <row r="8" spans="1:25" ht="4.5" customHeight="1" x14ac:dyDescent="0.3">
      <c r="A8" s="97"/>
      <c r="B8" s="134"/>
      <c r="C8" s="134"/>
      <c r="D8" s="134"/>
      <c r="E8" s="134"/>
      <c r="F8" s="97"/>
      <c r="G8" s="134"/>
      <c r="H8" s="134"/>
      <c r="I8" s="134"/>
      <c r="J8" s="134"/>
      <c r="K8" s="97"/>
      <c r="L8" s="134"/>
      <c r="M8" s="134"/>
      <c r="N8" s="134"/>
      <c r="O8" s="134"/>
      <c r="P8" s="97"/>
      <c r="Q8" s="134"/>
      <c r="R8" s="134"/>
      <c r="S8" s="134"/>
      <c r="T8" s="134"/>
      <c r="U8" s="97"/>
      <c r="V8" s="134"/>
      <c r="W8" s="134"/>
      <c r="X8" s="134"/>
      <c r="Y8" s="134"/>
    </row>
    <row r="9" spans="1:25" x14ac:dyDescent="0.3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</row>
    <row r="10" spans="1:25" ht="24" customHeight="1" x14ac:dyDescent="0.3">
      <c r="A10" s="97"/>
      <c r="B10" s="135" t="s">
        <v>725</v>
      </c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97"/>
      <c r="N10" s="135" t="s">
        <v>726</v>
      </c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97"/>
    </row>
    <row r="11" spans="1:25" ht="19.5" customHeight="1" x14ac:dyDescent="0.3">
      <c r="A11" s="97"/>
      <c r="B11" s="98" t="s">
        <v>3</v>
      </c>
      <c r="C11" s="98" t="s">
        <v>6</v>
      </c>
      <c r="D11" s="98" t="s">
        <v>7</v>
      </c>
      <c r="E11" s="98" t="s">
        <v>727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</row>
    <row r="12" spans="1:25" ht="18" customHeight="1" x14ac:dyDescent="0.3">
      <c r="A12" s="97"/>
      <c r="B12" s="99" t="s">
        <v>15</v>
      </c>
      <c r="C12" s="100">
        <v>288583</v>
      </c>
      <c r="D12" s="100">
        <v>53144</v>
      </c>
      <c r="E12" s="101">
        <v>0.1842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</row>
    <row r="13" spans="1:25" ht="18" customHeight="1" x14ac:dyDescent="0.3">
      <c r="A13" s="97"/>
      <c r="B13" s="102" t="s">
        <v>25</v>
      </c>
      <c r="C13" s="103">
        <v>274514</v>
      </c>
      <c r="D13" s="103">
        <v>53760</v>
      </c>
      <c r="E13" s="104">
        <v>0.1958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</row>
    <row r="14" spans="1:25" ht="18" customHeight="1" x14ac:dyDescent="0.3">
      <c r="A14" s="97"/>
      <c r="B14" s="105" t="s">
        <v>41</v>
      </c>
      <c r="C14" s="106">
        <v>270404</v>
      </c>
      <c r="D14" s="106">
        <v>46180</v>
      </c>
      <c r="E14" s="107">
        <v>0.17080000000000001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</row>
    <row r="15" spans="1:25" ht="18" customHeight="1" x14ac:dyDescent="0.3">
      <c r="A15" s="97"/>
      <c r="B15" s="108" t="s">
        <v>20</v>
      </c>
      <c r="C15" s="109">
        <v>263319</v>
      </c>
      <c r="D15" s="109">
        <v>51518</v>
      </c>
      <c r="E15" s="110">
        <v>0.1956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</row>
    <row r="16" spans="1:25" ht="18" customHeight="1" x14ac:dyDescent="0.3">
      <c r="A16" s="97"/>
      <c r="B16" s="111" t="s">
        <v>47</v>
      </c>
      <c r="C16" s="112">
        <v>239189</v>
      </c>
      <c r="D16" s="112">
        <v>44054</v>
      </c>
      <c r="E16" s="113">
        <v>0.1842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</row>
    <row r="17" spans="1:25" ht="24" customHeight="1" x14ac:dyDescent="0.3">
      <c r="A17" s="97"/>
      <c r="B17" s="97"/>
      <c r="C17" s="97"/>
      <c r="D17" s="97"/>
      <c r="E17" s="97"/>
      <c r="F17" s="136" t="s">
        <v>728</v>
      </c>
      <c r="G17" s="136"/>
      <c r="H17" s="136"/>
      <c r="I17" s="136"/>
      <c r="J17" s="136"/>
      <c r="K17" s="136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</row>
    <row r="18" spans="1:25" ht="24" customHeight="1" x14ac:dyDescent="0.3">
      <c r="A18" s="97"/>
      <c r="B18" s="97"/>
      <c r="C18" s="97"/>
      <c r="D18" s="97"/>
      <c r="E18" s="97"/>
      <c r="F18" s="137" t="s">
        <v>729</v>
      </c>
      <c r="G18" s="137"/>
      <c r="H18" s="137"/>
      <c r="I18" s="137"/>
      <c r="J18" s="137"/>
      <c r="K18" s="13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</row>
    <row r="19" spans="1:25" x14ac:dyDescent="0.3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</row>
    <row r="20" spans="1:25" x14ac:dyDescent="0.3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</row>
    <row r="21" spans="1:25" x14ac:dyDescent="0.3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</row>
    <row r="22" spans="1:25" x14ac:dyDescent="0.3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</row>
    <row r="23" spans="1:25" x14ac:dyDescent="0.3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</row>
    <row r="24" spans="1:25" x14ac:dyDescent="0.3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</row>
    <row r="25" spans="1:25" x14ac:dyDescent="0.3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</row>
    <row r="26" spans="1:25" x14ac:dyDescent="0.3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</row>
    <row r="27" spans="1:25" x14ac:dyDescent="0.3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</row>
    <row r="28" spans="1:25" x14ac:dyDescent="0.3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</row>
    <row r="29" spans="1:25" x14ac:dyDescent="0.3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</row>
    <row r="30" spans="1:25" x14ac:dyDescent="0.3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</row>
    <row r="31" spans="1:25" x14ac:dyDescent="0.3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</row>
    <row r="32" spans="1:25" x14ac:dyDescent="0.3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</row>
    <row r="33" spans="1:25" ht="24" customHeight="1" x14ac:dyDescent="0.3">
      <c r="A33" s="97"/>
      <c r="B33" s="135" t="s">
        <v>730</v>
      </c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97"/>
      <c r="N33" s="135" t="s">
        <v>731</v>
      </c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97"/>
    </row>
    <row r="34" spans="1:25" ht="19.5" customHeight="1" x14ac:dyDescent="0.3">
      <c r="A34" s="97"/>
      <c r="B34" s="114" t="s">
        <v>732</v>
      </c>
      <c r="C34" s="114" t="s">
        <v>733</v>
      </c>
      <c r="D34" s="114" t="s">
        <v>6</v>
      </c>
      <c r="E34" s="114" t="s">
        <v>692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</row>
    <row r="35" spans="1:25" ht="16.5" customHeight="1" x14ac:dyDescent="0.3">
      <c r="A35" s="97"/>
      <c r="B35" s="115">
        <v>1</v>
      </c>
      <c r="C35" s="116" t="s">
        <v>24</v>
      </c>
      <c r="D35" s="117">
        <v>59482</v>
      </c>
      <c r="E35" s="115" t="s">
        <v>693</v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</row>
    <row r="36" spans="1:25" ht="16.5" customHeight="1" x14ac:dyDescent="0.3">
      <c r="A36" s="97"/>
      <c r="B36" s="115">
        <v>2</v>
      </c>
      <c r="C36" s="116" t="s">
        <v>46</v>
      </c>
      <c r="D36" s="117">
        <v>53000</v>
      </c>
      <c r="E36" s="115" t="s">
        <v>693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</row>
    <row r="37" spans="1:25" ht="16.5" customHeight="1" x14ac:dyDescent="0.3">
      <c r="A37" s="97"/>
      <c r="B37" s="115">
        <v>3</v>
      </c>
      <c r="C37" s="116" t="s">
        <v>98</v>
      </c>
      <c r="D37" s="117">
        <v>52227</v>
      </c>
      <c r="E37" s="115" t="s">
        <v>693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</row>
    <row r="38" spans="1:25" ht="16.5" customHeight="1" x14ac:dyDescent="0.3">
      <c r="A38" s="97"/>
      <c r="B38" s="118">
        <v>4</v>
      </c>
      <c r="C38" s="108" t="s">
        <v>117</v>
      </c>
      <c r="D38" s="109">
        <v>48286</v>
      </c>
      <c r="E38" s="118" t="s">
        <v>694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</row>
    <row r="39" spans="1:25" ht="16.5" customHeight="1" x14ac:dyDescent="0.3">
      <c r="A39" s="97"/>
      <c r="B39" s="118">
        <v>5</v>
      </c>
      <c r="C39" s="108" t="s">
        <v>52</v>
      </c>
      <c r="D39" s="109">
        <v>42301</v>
      </c>
      <c r="E39" s="118" t="s">
        <v>694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</row>
    <row r="40" spans="1:25" ht="16.5" customHeight="1" x14ac:dyDescent="0.3">
      <c r="A40" s="97"/>
      <c r="B40" s="118">
        <v>6</v>
      </c>
      <c r="C40" s="108" t="s">
        <v>63</v>
      </c>
      <c r="D40" s="109">
        <v>41682</v>
      </c>
      <c r="E40" s="118" t="s">
        <v>694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</row>
    <row r="41" spans="1:25" ht="16.5" customHeight="1" x14ac:dyDescent="0.3">
      <c r="A41" s="97"/>
      <c r="B41" s="119">
        <v>7</v>
      </c>
      <c r="C41" s="120" t="s">
        <v>40</v>
      </c>
      <c r="D41" s="121">
        <v>41289</v>
      </c>
      <c r="E41" s="119" t="s">
        <v>695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</row>
    <row r="42" spans="1:25" ht="16.5" customHeight="1" x14ac:dyDescent="0.3">
      <c r="A42" s="97"/>
      <c r="B42" s="119">
        <v>8</v>
      </c>
      <c r="C42" s="120" t="s">
        <v>14</v>
      </c>
      <c r="D42" s="121">
        <v>38643</v>
      </c>
      <c r="E42" s="119" t="s">
        <v>695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</row>
    <row r="43" spans="1:25" ht="16.5" customHeight="1" x14ac:dyDescent="0.3">
      <c r="A43" s="97"/>
      <c r="B43" s="122">
        <v>9</v>
      </c>
      <c r="C43" s="111" t="s">
        <v>44</v>
      </c>
      <c r="D43" s="112">
        <v>38334</v>
      </c>
      <c r="E43" s="122" t="s">
        <v>696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</row>
    <row r="44" spans="1:25" ht="16.5" customHeight="1" x14ac:dyDescent="0.3">
      <c r="A44" s="97"/>
      <c r="B44" s="122">
        <v>10</v>
      </c>
      <c r="C44" s="111" t="s">
        <v>69</v>
      </c>
      <c r="D44" s="112">
        <v>36053</v>
      </c>
      <c r="E44" s="122" t="s">
        <v>696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</row>
    <row r="45" spans="1:25" x14ac:dyDescent="0.3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</row>
    <row r="46" spans="1:25" x14ac:dyDescent="0.3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</row>
    <row r="47" spans="1:25" ht="24" customHeight="1" x14ac:dyDescent="0.3">
      <c r="A47" s="97"/>
      <c r="B47" s="138" t="s">
        <v>734</v>
      </c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97"/>
    </row>
    <row r="48" spans="1:25" ht="19.5" customHeight="1" x14ac:dyDescent="0.3">
      <c r="A48" s="97"/>
      <c r="B48" s="139" t="s">
        <v>735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97"/>
    </row>
    <row r="49" spans="1:25" ht="19.5" customHeight="1" x14ac:dyDescent="0.3">
      <c r="A49" s="97"/>
      <c r="B49" s="140" t="s">
        <v>736</v>
      </c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97"/>
    </row>
    <row r="50" spans="1:25" ht="19.5" customHeight="1" x14ac:dyDescent="0.3">
      <c r="A50" s="97"/>
      <c r="B50" s="139" t="s">
        <v>737</v>
      </c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97"/>
    </row>
    <row r="51" spans="1:25" ht="19.5" customHeight="1" x14ac:dyDescent="0.3">
      <c r="A51" s="97"/>
      <c r="B51" s="140" t="s">
        <v>738</v>
      </c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97"/>
    </row>
    <row r="52" spans="1:25" ht="19.5" customHeight="1" x14ac:dyDescent="0.3">
      <c r="A52" s="97"/>
      <c r="B52" s="139" t="s">
        <v>739</v>
      </c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97"/>
    </row>
    <row r="53" spans="1:25" ht="19.5" customHeight="1" x14ac:dyDescent="0.3">
      <c r="A53" s="97"/>
      <c r="B53" s="140" t="s">
        <v>740</v>
      </c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97"/>
    </row>
    <row r="54" spans="1:25" x14ac:dyDescent="0.3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</row>
    <row r="55" spans="1:25" x14ac:dyDescent="0.3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</row>
    <row r="56" spans="1:25" x14ac:dyDescent="0.3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</row>
    <row r="57" spans="1:25" x14ac:dyDescent="0.3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</row>
    <row r="58" spans="1:25" x14ac:dyDescent="0.3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</row>
    <row r="59" spans="1:25" x14ac:dyDescent="0.3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</row>
  </sheetData>
  <mergeCells count="35">
    <mergeCell ref="B52:X52"/>
    <mergeCell ref="B53:X53"/>
    <mergeCell ref="B47:X47"/>
    <mergeCell ref="B48:X48"/>
    <mergeCell ref="B49:X49"/>
    <mergeCell ref="B50:X50"/>
    <mergeCell ref="B51:X51"/>
    <mergeCell ref="B10:L10"/>
    <mergeCell ref="N10:X10"/>
    <mergeCell ref="F17:K17"/>
    <mergeCell ref="F18:K18"/>
    <mergeCell ref="B33:L33"/>
    <mergeCell ref="N33:X33"/>
    <mergeCell ref="B8:E8"/>
    <mergeCell ref="G8:J8"/>
    <mergeCell ref="L8:O8"/>
    <mergeCell ref="Q8:T8"/>
    <mergeCell ref="V8:Y8"/>
    <mergeCell ref="B6:E7"/>
    <mergeCell ref="G6:J7"/>
    <mergeCell ref="L6:O7"/>
    <mergeCell ref="Q6:T7"/>
    <mergeCell ref="V6:Y7"/>
    <mergeCell ref="B5:E5"/>
    <mergeCell ref="G5:J5"/>
    <mergeCell ref="L5:O5"/>
    <mergeCell ref="Q5:T5"/>
    <mergeCell ref="V5:Y5"/>
    <mergeCell ref="A1:Y1"/>
    <mergeCell ref="A2:Y2"/>
    <mergeCell ref="B4:E4"/>
    <mergeCell ref="G4:J4"/>
    <mergeCell ref="L4:O4"/>
    <mergeCell ref="Q4:T4"/>
    <mergeCell ref="V4:Y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Raw_Data</vt:lpstr>
      <vt:lpstr>Conditional_Formatting</vt:lpstr>
      <vt:lpstr>What_If_Analysis</vt:lpstr>
      <vt:lpstr>Linear_Regression</vt:lpstr>
      <vt:lpstr>Descriptive_Statistics</vt:lpstr>
      <vt:lpstr>Monthly_Growth</vt:lpstr>
      <vt:lpstr>Timestamp</vt:lpstr>
      <vt:lpstr>High_Value_Customers</vt:lpstr>
      <vt:lpstr>Pivot_Table</vt:lpstr>
      <vt:lpstr>Charts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Dharmik Pansuriya</cp:lastModifiedBy>
  <cp:revision>1</cp:revision>
  <dcterms:created xsi:type="dcterms:W3CDTF">2026-05-09T09:22:26Z</dcterms:created>
  <dcterms:modified xsi:type="dcterms:W3CDTF">2026-05-09T09:29:03Z</dcterms:modified>
  <dc:language>en-US</dc:language>
</cp:coreProperties>
</file>